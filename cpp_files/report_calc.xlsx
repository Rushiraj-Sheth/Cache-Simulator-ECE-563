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G:\MS CE\SEM 1\Micro. Arch\"/>
    </mc:Choice>
  </mc:AlternateContent>
  <xr:revisionPtr revIDLastSave="0" documentId="13_ncr:1_{37B6F400-507C-449C-905F-47D6073449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3" sheetId="3" r:id="rId2"/>
    <sheet name="Sheet2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4" l="1"/>
  <c r="J21" i="4"/>
  <c r="J22" i="4"/>
  <c r="J19" i="4"/>
  <c r="J12" i="4"/>
  <c r="J13" i="4"/>
  <c r="J14" i="4"/>
  <c r="J15" i="4"/>
  <c r="J7" i="4"/>
  <c r="J8" i="4"/>
  <c r="J9" i="4"/>
  <c r="J6" i="4"/>
  <c r="E44" i="3"/>
  <c r="E43" i="3"/>
  <c r="E42" i="3"/>
  <c r="E41" i="3"/>
  <c r="E36" i="3"/>
  <c r="E35" i="3"/>
  <c r="E34" i="3"/>
  <c r="E33" i="3"/>
  <c r="E28" i="3"/>
  <c r="E27" i="3"/>
  <c r="E26" i="3"/>
  <c r="E25" i="3"/>
  <c r="E20" i="3"/>
  <c r="E19" i="3"/>
  <c r="E18" i="3"/>
  <c r="E17" i="3"/>
  <c r="E13" i="3"/>
  <c r="E12" i="3"/>
  <c r="E11" i="3"/>
  <c r="E10" i="3"/>
  <c r="E4" i="3"/>
  <c r="E5" i="3"/>
  <c r="E6" i="3"/>
  <c r="E3" i="3"/>
  <c r="I27" i="2"/>
  <c r="I26" i="2"/>
  <c r="I25" i="2"/>
  <c r="I20" i="2"/>
  <c r="I19" i="2"/>
  <c r="I18" i="2"/>
  <c r="I17" i="2"/>
  <c r="I10" i="2"/>
  <c r="I13" i="2"/>
  <c r="I12" i="2"/>
  <c r="I11" i="2"/>
  <c r="I4" i="2"/>
  <c r="I5" i="2"/>
  <c r="I6" i="2"/>
  <c r="I3" i="2"/>
  <c r="I120" i="1"/>
  <c r="I121" i="1"/>
  <c r="I122" i="1"/>
  <c r="I123" i="1"/>
  <c r="I124" i="1"/>
  <c r="I125" i="1"/>
  <c r="I126" i="1"/>
  <c r="I127" i="1"/>
  <c r="I128" i="1"/>
  <c r="I129" i="1"/>
  <c r="I119" i="1"/>
  <c r="B129" i="1"/>
  <c r="B128" i="1"/>
  <c r="B127" i="1"/>
  <c r="B126" i="1"/>
  <c r="B125" i="1"/>
  <c r="B124" i="1"/>
  <c r="B123" i="1"/>
  <c r="B122" i="1"/>
  <c r="B121" i="1"/>
  <c r="B120" i="1"/>
  <c r="B119" i="1"/>
  <c r="I106" i="1"/>
  <c r="I107" i="1"/>
  <c r="I108" i="1"/>
  <c r="I109" i="1"/>
  <c r="I110" i="1"/>
  <c r="I111" i="1"/>
  <c r="I112" i="1"/>
  <c r="I113" i="1"/>
  <c r="I114" i="1"/>
  <c r="I115" i="1"/>
  <c r="I105" i="1"/>
  <c r="B115" i="1"/>
  <c r="B114" i="1"/>
  <c r="B113" i="1"/>
  <c r="B112" i="1"/>
  <c r="B111" i="1"/>
  <c r="B110" i="1"/>
  <c r="B109" i="1"/>
  <c r="B108" i="1"/>
  <c r="B107" i="1"/>
  <c r="B106" i="1"/>
  <c r="B105" i="1"/>
  <c r="I91" i="1"/>
  <c r="I92" i="1"/>
  <c r="I93" i="1"/>
  <c r="I94" i="1"/>
  <c r="I95" i="1"/>
  <c r="I96" i="1"/>
  <c r="I97" i="1"/>
  <c r="I98" i="1"/>
  <c r="I99" i="1"/>
  <c r="I100" i="1"/>
  <c r="I90" i="1"/>
  <c r="I75" i="1"/>
  <c r="I76" i="1"/>
  <c r="I77" i="1"/>
  <c r="I78" i="1"/>
  <c r="I79" i="1"/>
  <c r="I80" i="1"/>
  <c r="I81" i="1"/>
  <c r="I82" i="1"/>
  <c r="I83" i="1"/>
  <c r="I84" i="1"/>
  <c r="I85" i="1"/>
  <c r="B100" i="1"/>
  <c r="B99" i="1"/>
  <c r="B98" i="1"/>
  <c r="B97" i="1"/>
  <c r="B96" i="1"/>
  <c r="B95" i="1"/>
  <c r="B94" i="1"/>
  <c r="B93" i="1"/>
  <c r="B92" i="1"/>
  <c r="B91" i="1"/>
  <c r="B90" i="1"/>
  <c r="B85" i="1"/>
  <c r="B84" i="1"/>
  <c r="B83" i="1"/>
  <c r="B82" i="1"/>
  <c r="B81" i="1"/>
  <c r="B80" i="1"/>
  <c r="B79" i="1"/>
  <c r="B78" i="1"/>
  <c r="B77" i="1"/>
  <c r="B76" i="1"/>
  <c r="B75" i="1"/>
  <c r="B70" i="1"/>
  <c r="K70" i="1" s="1"/>
  <c r="B69" i="1"/>
  <c r="K69" i="1" s="1"/>
  <c r="B68" i="1"/>
  <c r="K68" i="1" s="1"/>
  <c r="B67" i="1"/>
  <c r="K67" i="1" s="1"/>
  <c r="B66" i="1"/>
  <c r="K66" i="1" s="1"/>
  <c r="B65" i="1"/>
  <c r="K65" i="1" s="1"/>
  <c r="B64" i="1"/>
  <c r="K64" i="1" s="1"/>
  <c r="B63" i="1"/>
  <c r="K63" i="1" s="1"/>
  <c r="B62" i="1"/>
  <c r="K62" i="1" s="1"/>
  <c r="B61" i="1"/>
  <c r="K61" i="1" s="1"/>
  <c r="B60" i="1"/>
  <c r="K60" i="1" s="1"/>
  <c r="B55" i="1"/>
  <c r="B54" i="1"/>
  <c r="B53" i="1"/>
  <c r="B52" i="1"/>
  <c r="B51" i="1"/>
  <c r="B50" i="1"/>
  <c r="B49" i="1"/>
  <c r="B48" i="1"/>
  <c r="B47" i="1"/>
  <c r="B46" i="1"/>
  <c r="B45" i="1"/>
  <c r="B41" i="1"/>
  <c r="B40" i="1"/>
  <c r="B39" i="1"/>
  <c r="B38" i="1"/>
  <c r="B37" i="1"/>
  <c r="B36" i="1"/>
  <c r="B35" i="1"/>
  <c r="B34" i="1"/>
  <c r="B33" i="1"/>
  <c r="B32" i="1"/>
  <c r="B31" i="1"/>
  <c r="J18" i="1"/>
  <c r="J17" i="1"/>
  <c r="B27" i="1"/>
  <c r="B26" i="1"/>
  <c r="B25" i="1"/>
  <c r="B24" i="1"/>
  <c r="B23" i="1"/>
  <c r="B22" i="1"/>
  <c r="B21" i="1"/>
  <c r="B20" i="1"/>
  <c r="B19" i="1"/>
  <c r="B18" i="1"/>
  <c r="B17" i="1"/>
  <c r="B4" i="1"/>
  <c r="B5" i="1"/>
  <c r="B6" i="1"/>
  <c r="B7" i="1"/>
  <c r="B8" i="1"/>
  <c r="B9" i="1"/>
  <c r="B10" i="1"/>
  <c r="B11" i="1"/>
  <c r="B12" i="1"/>
  <c r="B13" i="1"/>
  <c r="B3" i="1"/>
  <c r="J4" i="1"/>
  <c r="J5" i="1"/>
  <c r="J6" i="1"/>
  <c r="J7" i="1"/>
  <c r="J8" i="1"/>
  <c r="J9" i="1"/>
  <c r="J10" i="1"/>
  <c r="J11" i="1"/>
  <c r="J12" i="1"/>
  <c r="J13" i="1"/>
  <c r="J3" i="1"/>
</calcChain>
</file>

<file path=xl/sharedStrings.xml><?xml version="1.0" encoding="utf-8"?>
<sst xmlns="http://schemas.openxmlformats.org/spreadsheetml/2006/main" count="197" uniqueCount="51">
  <si>
    <t>Sr. no.</t>
  </si>
  <si>
    <t>Log2(size)</t>
  </si>
  <si>
    <t>cache size</t>
  </si>
  <si>
    <t>blocksize</t>
  </si>
  <si>
    <t>fully</t>
  </si>
  <si>
    <t>L1 READS</t>
  </si>
  <si>
    <t>L1 RED MISS</t>
  </si>
  <si>
    <t>L1 WRITES</t>
  </si>
  <si>
    <t>L1 WRITE MISS</t>
  </si>
  <si>
    <t>1 way</t>
  </si>
  <si>
    <t>2 way</t>
  </si>
  <si>
    <t>4 way</t>
  </si>
  <si>
    <t>8 way</t>
  </si>
  <si>
    <t>no. of colmns</t>
  </si>
  <si>
    <t>Miss rate, assoc=2 way</t>
  </si>
  <si>
    <t>Miss rate, assoc=1 way</t>
  </si>
  <si>
    <t>Miss rate, assoc=4 way</t>
  </si>
  <si>
    <t>Miss rate, assoc=8 way</t>
  </si>
  <si>
    <t>Miss rate, fully assoc.</t>
  </si>
  <si>
    <t>HT_L1</t>
  </si>
  <si>
    <t>MR_L1</t>
  </si>
  <si>
    <t>MP_L1</t>
  </si>
  <si>
    <t>AAT, 2-way set associative</t>
  </si>
  <si>
    <t>AAT, 1-way set associative</t>
  </si>
  <si>
    <t>AAT, 4-way set associative</t>
  </si>
  <si>
    <t>AAT, 8-way set associative</t>
  </si>
  <si>
    <t>1 WAY</t>
  </si>
  <si>
    <t>MR_L2</t>
  </si>
  <si>
    <t>L1 cache size</t>
  </si>
  <si>
    <t>2 WAY</t>
  </si>
  <si>
    <t>4 WAY</t>
  </si>
  <si>
    <t>8 WAY</t>
  </si>
  <si>
    <t>HT_L2</t>
  </si>
  <si>
    <t>L2: 16KB, 8 WAY</t>
  </si>
  <si>
    <t>MP</t>
  </si>
  <si>
    <t>Assoc</t>
  </si>
  <si>
    <t>log2(bz)</t>
  </si>
  <si>
    <t>MR_L1, cache size 1KB</t>
  </si>
  <si>
    <t>MR_L1, cache size 2KB</t>
  </si>
  <si>
    <t>MR_L1,, cache size 4KB</t>
  </si>
  <si>
    <t>MR_L1, cache size 8KB</t>
  </si>
  <si>
    <t>MR_L1, cache size 16KB</t>
  </si>
  <si>
    <t>MR_L1, cache size 32KB</t>
  </si>
  <si>
    <t>blocksz</t>
  </si>
  <si>
    <t>l1_assoc</t>
  </si>
  <si>
    <t>L2_ASSOC</t>
  </si>
  <si>
    <t>Sr no</t>
  </si>
  <si>
    <t>L2_SIZE</t>
  </si>
  <si>
    <t>AAT, 16KB L2</t>
  </si>
  <si>
    <t>AAT, 32KB L2</t>
  </si>
  <si>
    <t>AAT, 64KB 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</si>
</sst>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/>
    <xf numFmtId="16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L1 miss rate vs. CAChE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Miss rate, assoc=1 way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Sheet1!$C$3:$C$13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Sheet1!$J$3:$J$13</c:f>
              <c:numCache>
                <c:formatCode>0.0000</c:formatCode>
                <c:ptCount val="11"/>
                <c:pt idx="0">
                  <c:v>0.19345999999999999</c:v>
                </c:pt>
                <c:pt idx="1">
                  <c:v>0.14774000000000001</c:v>
                </c:pt>
                <c:pt idx="2">
                  <c:v>0.10017</c:v>
                </c:pt>
                <c:pt idx="3">
                  <c:v>6.7000000000000004E-2</c:v>
                </c:pt>
                <c:pt idx="4">
                  <c:v>4.6089999999999999E-2</c:v>
                </c:pt>
                <c:pt idx="5">
                  <c:v>3.7679999999999998E-2</c:v>
                </c:pt>
                <c:pt idx="6">
                  <c:v>3.2919999999999998E-2</c:v>
                </c:pt>
                <c:pt idx="7">
                  <c:v>3.2329999999999998E-2</c:v>
                </c:pt>
                <c:pt idx="8">
                  <c:v>2.5839999999999998E-2</c:v>
                </c:pt>
                <c:pt idx="9">
                  <c:v>2.5839999999999998E-2</c:v>
                </c:pt>
                <c:pt idx="10">
                  <c:v>2.5839999999999998E-2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667-4F10-99AF-396B91260818}"/>
            </c:ext>
          </c:extLst>
        </c:ser>
        <c:ser>
          <c:idx val="1"/>
          <c:order val="1"/>
          <c:tx>
            <c:strRef>
              <c:f>Sheet1!$J$16</c:f>
              <c:strCache>
                <c:ptCount val="1"/>
                <c:pt idx="0">
                  <c:v>Miss rate, assoc=2 way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Sheet1!$C$3:$C$13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Sheet1!$J$17:$J$27</c:f>
              <c:numCache>
                <c:formatCode>0.0000</c:formatCode>
                <c:ptCount val="11"/>
                <c:pt idx="0">
                  <c:v>0.15603</c:v>
                </c:pt>
                <c:pt idx="1">
                  <c:v>0.10714</c:v>
                </c:pt>
                <c:pt idx="2">
                  <c:v>7.5300000000000006E-2</c:v>
                </c:pt>
                <c:pt idx="3">
                  <c:v>4.7300000000000002E-2</c:v>
                </c:pt>
                <c:pt idx="4">
                  <c:v>3.3799999999999997E-2</c:v>
                </c:pt>
                <c:pt idx="5">
                  <c:v>2.8799999999999999E-2</c:v>
                </c:pt>
                <c:pt idx="6">
                  <c:v>2.7099999999999999E-2</c:v>
                </c:pt>
                <c:pt idx="7">
                  <c:v>2.5899999999999999E-2</c:v>
                </c:pt>
                <c:pt idx="8">
                  <c:v>2.58E-2</c:v>
                </c:pt>
                <c:pt idx="9">
                  <c:v>2.58E-2</c:v>
                </c:pt>
                <c:pt idx="10">
                  <c:v>2.58E-2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667-4F10-99AF-396B91260818}"/>
            </c:ext>
          </c:extLst>
        </c:ser>
        <c:ser>
          <c:idx val="2"/>
          <c:order val="2"/>
          <c:tx>
            <c:strRef>
              <c:f>Sheet1!$J$30</c:f>
              <c:strCache>
                <c:ptCount val="1"/>
                <c:pt idx="0">
                  <c:v>Miss rate, assoc=4 way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Sheet1!$C$3:$C$13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Sheet1!$J$31:$J$41</c:f>
              <c:numCache>
                <c:formatCode>0.0000</c:formatCode>
                <c:ptCount val="11"/>
                <c:pt idx="0">
                  <c:v>0.14269999999999999</c:v>
                </c:pt>
                <c:pt idx="1">
                  <c:v>9.6199999999999994E-2</c:v>
                </c:pt>
                <c:pt idx="2">
                  <c:v>5.9900000000000002E-2</c:v>
                </c:pt>
                <c:pt idx="3">
                  <c:v>4.2500000000000003E-2</c:v>
                </c:pt>
                <c:pt idx="4">
                  <c:v>2.8299999999999999E-2</c:v>
                </c:pt>
                <c:pt idx="5">
                  <c:v>2.64E-2</c:v>
                </c:pt>
                <c:pt idx="6">
                  <c:v>2.5999999999999999E-2</c:v>
                </c:pt>
                <c:pt idx="7">
                  <c:v>2.58E-2</c:v>
                </c:pt>
                <c:pt idx="8">
                  <c:v>2.58E-2</c:v>
                </c:pt>
                <c:pt idx="9">
                  <c:v>2.58E-2</c:v>
                </c:pt>
                <c:pt idx="10">
                  <c:v>2.58E-2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667-4F10-99AF-396B91260818}"/>
            </c:ext>
          </c:extLst>
        </c:ser>
        <c:ser>
          <c:idx val="3"/>
          <c:order val="3"/>
          <c:tx>
            <c:strRef>
              <c:f>Sheet1!$J$44</c:f>
              <c:strCache>
                <c:ptCount val="1"/>
                <c:pt idx="0">
                  <c:v>Miss rate, assoc=8 way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Sheet1!$C$3:$C$13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Sheet1!$J$45:$J$55</c:f>
              <c:numCache>
                <c:formatCode>0.0000</c:formatCode>
                <c:ptCount val="11"/>
                <c:pt idx="0">
                  <c:v>0.1363</c:v>
                </c:pt>
                <c:pt idx="1">
                  <c:v>9.0700000000000003E-2</c:v>
                </c:pt>
                <c:pt idx="2">
                  <c:v>5.3699999999999998E-2</c:v>
                </c:pt>
                <c:pt idx="3">
                  <c:v>3.95E-2</c:v>
                </c:pt>
                <c:pt idx="4">
                  <c:v>2.7699999999999999E-2</c:v>
                </c:pt>
                <c:pt idx="5">
                  <c:v>2.6200000000000001E-2</c:v>
                </c:pt>
                <c:pt idx="6">
                  <c:v>2.5899999999999999E-2</c:v>
                </c:pt>
                <c:pt idx="7">
                  <c:v>2.58E-2</c:v>
                </c:pt>
                <c:pt idx="8">
                  <c:v>2.58E-2</c:v>
                </c:pt>
                <c:pt idx="9">
                  <c:v>2.58E-2</c:v>
                </c:pt>
                <c:pt idx="10">
                  <c:v>2.58E-2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667-4F10-99AF-396B91260818}"/>
            </c:ext>
          </c:extLst>
        </c:ser>
        <c:ser>
          <c:idx val="4"/>
          <c:order val="4"/>
          <c:tx>
            <c:strRef>
              <c:f>Sheet1!$J$59</c:f>
              <c:strCache>
                <c:ptCount val="1"/>
                <c:pt idx="0">
                  <c:v>Miss rate, fully assoc.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Sheet1!$C$3:$C$13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Sheet1!$J$60:$J$70</c:f>
              <c:numCache>
                <c:formatCode>0.0000</c:formatCode>
                <c:ptCount val="11"/>
                <c:pt idx="0">
                  <c:v>0.13700000000000001</c:v>
                </c:pt>
                <c:pt idx="1">
                  <c:v>8.8599999999999998E-2</c:v>
                </c:pt>
                <c:pt idx="2">
                  <c:v>4.9500000000000002E-2</c:v>
                </c:pt>
                <c:pt idx="3">
                  <c:v>3.9100000000000003E-2</c:v>
                </c:pt>
                <c:pt idx="4">
                  <c:v>2.63E-2</c:v>
                </c:pt>
                <c:pt idx="5">
                  <c:v>2.6200000000000001E-2</c:v>
                </c:pt>
                <c:pt idx="6">
                  <c:v>2.58E-2</c:v>
                </c:pt>
                <c:pt idx="7">
                  <c:v>2.58E-2</c:v>
                </c:pt>
                <c:pt idx="8">
                  <c:v>2.58E-2</c:v>
                </c:pt>
                <c:pt idx="9">
                  <c:v>2.58E-2</c:v>
                </c:pt>
                <c:pt idx="10">
                  <c:v>2.58E-2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667-4F10-99AF-396B9126081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069888"/>
        <c:axId val="399778272"/>
      </c:lineChart>
      <c:catAx>
        <c:axId val="55106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Log</a:t>
                </a:r>
                <a:r>
                  <a:rPr lang="en-US" sz="1200" b="1" baseline="-25000"/>
                  <a:t>2</a:t>
                </a:r>
                <a:r>
                  <a:rPr lang="en-US" b="1"/>
                  <a:t>(SIZE)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778272"/>
        <c:crosses val="autoZero"/>
        <c:auto val="1"/>
        <c:lblAlgn val="ctr"/>
        <c:lblOffset val="100"/>
        <c:noMultiLvlLbl val="0"/>
      </c:catAx>
      <c:valAx>
        <c:axId val="399778272"/>
        <c:scaling>
          <c:orientation val="minMax"/>
          <c:max val="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L1 MISS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069888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AAT vs. Log2(cache size)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Sheet1!$I$74</c:f>
              <c:strCache>
                <c:ptCount val="1"/>
                <c:pt idx="0">
                  <c:v>AAT, 1-way set associative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Sheet1!$C$119:$C$129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Sheet1!$I$75:$I$85</c:f>
              <c:numCache>
                <c:formatCode>General</c:formatCode>
                <c:ptCount val="11"/>
                <c:pt idx="0">
                  <c:v>4.0033430000000001</c:v>
                </c:pt>
                <c:pt idx="1">
                  <c:v>3.0986640000000008</c:v>
                </c:pt>
                <c:pt idx="2">
                  <c:v>2.1604220000000001</c:v>
                </c:pt>
                <c:pt idx="3">
                  <c:v>1.5105300000000002</c:v>
                </c:pt>
                <c:pt idx="4">
                  <c:v>1.1248260000000001</c:v>
                </c:pt>
                <c:pt idx="5">
                  <c:v>0.99072099999999996</c:v>
                </c:pt>
                <c:pt idx="6">
                  <c:v>0.95631900000000003</c:v>
                </c:pt>
                <c:pt idx="7">
                  <c:v>1.0166330000000001</c:v>
                </c:pt>
                <c:pt idx="8">
                  <c:v>0.96319599999999994</c:v>
                </c:pt>
                <c:pt idx="9">
                  <c:v>1.0828349999999998</c:v>
                </c:pt>
                <c:pt idx="10">
                  <c:v>1.2187640000000002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C-4610-A69E-C82CC7E764A3}"/>
            </c:ext>
          </c:extLst>
        </c:ser>
        <c:ser>
          <c:idx val="1"/>
          <c:order val="1"/>
          <c:tx>
            <c:strRef>
              <c:f>Sheet1!$I$89</c:f>
              <c:strCache>
                <c:ptCount val="1"/>
                <c:pt idx="0">
                  <c:v>AAT, 2-way set associative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Sheet1!$C$119:$C$129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Sheet1!$I$90:$I$100</c:f>
              <c:numCache>
                <c:formatCode>General</c:formatCode>
                <c:ptCount val="11"/>
                <c:pt idx="0">
                  <c:v>3.2509999999999999</c:v>
                </c:pt>
                <c:pt idx="1">
                  <c:v>2.2826040000000001</c:v>
                </c:pt>
                <c:pt idx="2">
                  <c:v>1.6605350000000003</c:v>
                </c:pt>
                <c:pt idx="3">
                  <c:v>1.11456</c:v>
                </c:pt>
                <c:pt idx="4">
                  <c:v>0.87779699999999994</c:v>
                </c:pt>
                <c:pt idx="5">
                  <c:v>0.81223299999999998</c:v>
                </c:pt>
                <c:pt idx="6">
                  <c:v>0.839337</c:v>
                </c:pt>
                <c:pt idx="7">
                  <c:v>0.88739000000000001</c:v>
                </c:pt>
                <c:pt idx="8">
                  <c:v>0.96239200000000003</c:v>
                </c:pt>
                <c:pt idx="9">
                  <c:v>1.082031</c:v>
                </c:pt>
                <c:pt idx="10">
                  <c:v>1.2179600000000002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DC-4610-A69E-C82CC7E764A3}"/>
            </c:ext>
          </c:extLst>
        </c:ser>
        <c:ser>
          <c:idx val="2"/>
          <c:order val="2"/>
          <c:tx>
            <c:strRef>
              <c:f>Sheet1!$I$104</c:f>
              <c:strCache>
                <c:ptCount val="1"/>
                <c:pt idx="0">
                  <c:v>AAT, 4-way set associative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3"/>
              <c:layout>
                <c:manualLayout>
                  <c:x val="5.6890276976474885E-3"/>
                  <c:y val="-8.2796543961335178E-2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0DC-4610-A69E-C82CC7E764A3}"/>
                </c:ext>
              </c:extLst>
            </c:dLbl>
            <c:dLbl>
              <c:idx val="4"/>
              <c:layout>
                <c:manualLayout>
                  <c:x val="-0.11516357641317619"/>
                  <c:y val="7.7493509514960618E-2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0DC-4610-A69E-C82CC7E764A3}"/>
                </c:ext>
              </c:extLst>
            </c:dLbl>
            <c:dLbl>
              <c:idx val="5"/>
              <c:layout>
                <c:manualLayout>
                  <c:x val="-5.8041114071575819E-2"/>
                  <c:y val="8.5508012188775309E-2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0DC-4610-A69E-C82CC7E764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Sheet1!$C$119:$C$129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Sheet1!$I$105:$I$115</c:f>
              <c:numCache>
                <c:formatCode>General</c:formatCode>
                <c:ptCount val="11"/>
                <c:pt idx="0">
                  <c:v>2.9830669999999997</c:v>
                </c:pt>
                <c:pt idx="1">
                  <c:v>2.06271</c:v>
                </c:pt>
                <c:pt idx="2">
                  <c:v>1.3509950000000002</c:v>
                </c:pt>
                <c:pt idx="3">
                  <c:v>1.0180800000000001</c:v>
                </c:pt>
                <c:pt idx="4">
                  <c:v>0.76724700000000001</c:v>
                </c:pt>
                <c:pt idx="5">
                  <c:v>0.76399299999999992</c:v>
                </c:pt>
                <c:pt idx="6">
                  <c:v>0.81722700000000004</c:v>
                </c:pt>
                <c:pt idx="7">
                  <c:v>0.88538000000000006</c:v>
                </c:pt>
                <c:pt idx="8">
                  <c:v>0.96239200000000003</c:v>
                </c:pt>
                <c:pt idx="9">
                  <c:v>1.082031</c:v>
                </c:pt>
                <c:pt idx="10">
                  <c:v>1.2179600000000002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DC-4610-A69E-C82CC7E764A3}"/>
            </c:ext>
          </c:extLst>
        </c:ser>
        <c:ser>
          <c:idx val="3"/>
          <c:order val="3"/>
          <c:tx>
            <c:strRef>
              <c:f>Sheet1!$I$118</c:f>
              <c:strCache>
                <c:ptCount val="1"/>
                <c:pt idx="0">
                  <c:v>AAT, 8-way set associative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numFmt formatCode="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Sheet1!$C$119:$C$129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Sheet1!$I$119:$I$129</c:f>
              <c:numCache>
                <c:formatCode>General</c:formatCode>
                <c:ptCount val="11"/>
                <c:pt idx="0">
                  <c:v>2.8544270000000003</c:v>
                </c:pt>
                <c:pt idx="1">
                  <c:v>1.9521600000000001</c:v>
                </c:pt>
                <c:pt idx="2">
                  <c:v>1.226375</c:v>
                </c:pt>
                <c:pt idx="3">
                  <c:v>0.95778000000000008</c:v>
                </c:pt>
                <c:pt idx="4">
                  <c:v>0.75518699999999994</c:v>
                </c:pt>
                <c:pt idx="5">
                  <c:v>0.75997300000000001</c:v>
                </c:pt>
                <c:pt idx="6">
                  <c:v>0.81521699999999997</c:v>
                </c:pt>
                <c:pt idx="7">
                  <c:v>0.88538000000000006</c:v>
                </c:pt>
                <c:pt idx="8">
                  <c:v>0.96239200000000003</c:v>
                </c:pt>
                <c:pt idx="9">
                  <c:v>1.082031</c:v>
                </c:pt>
                <c:pt idx="10">
                  <c:v>1.2179600000000002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DC-4610-A69E-C82CC7E764A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129920"/>
        <c:axId val="781130400"/>
      </c:lineChart>
      <c:catAx>
        <c:axId val="78112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</a:t>
                </a:r>
                <a:r>
                  <a:rPr lang="en-US" sz="1200" b="1" i="0" u="none" strike="noStrike" kern="1200" cap="all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9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(SIZE)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130400"/>
        <c:crosses val="autoZero"/>
        <c:auto val="1"/>
        <c:lblAlgn val="ctr"/>
        <c:lblOffset val="100"/>
        <c:noMultiLvlLbl val="0"/>
      </c:catAx>
      <c:valAx>
        <c:axId val="781130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AAT for L1 CACHE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12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 Rate vs. Blocksize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MR_L1, cache size 1KB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Sheet3!$D$41:$D$44</c:f>
              <c:numCache>
                <c:formatCode>General</c:formatCod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numCache>
            </c:numRef>
          </c:cat>
          <c:val>
            <c:numRef>
              <c:f>Sheet3!$F$3:$F$6</c:f>
              <c:numCache>
                <c:formatCode>General</c:formatCode>
                <c:ptCount val="4"/>
                <c:pt idx="0">
                  <c:v>0.14729999999999999</c:v>
                </c:pt>
                <c:pt idx="1">
                  <c:v>0.14269999999999999</c:v>
                </c:pt>
                <c:pt idx="2">
                  <c:v>0.15840000000000001</c:v>
                </c:pt>
                <c:pt idx="3">
                  <c:v>0.2036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D1-453B-9856-4081B3004A54}"/>
            </c:ext>
          </c:extLst>
        </c:ser>
        <c:ser>
          <c:idx val="1"/>
          <c:order val="1"/>
          <c:tx>
            <c:strRef>
              <c:f>Sheet3!$F$8</c:f>
              <c:strCache>
                <c:ptCount val="1"/>
                <c:pt idx="0">
                  <c:v>MR_L1, cache size 2KB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Sheet3!$D$41:$D$44</c:f>
              <c:numCache>
                <c:formatCode>General</c:formatCod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numCache>
            </c:numRef>
          </c:cat>
          <c:val>
            <c:numRef>
              <c:f>Sheet3!$F$10:$F$13</c:f>
              <c:numCache>
                <c:formatCode>General</c:formatCode>
                <c:ptCount val="4"/>
                <c:pt idx="0">
                  <c:v>0.1062</c:v>
                </c:pt>
                <c:pt idx="1">
                  <c:v>9.6199999999999994E-2</c:v>
                </c:pt>
                <c:pt idx="2">
                  <c:v>0.1033</c:v>
                </c:pt>
                <c:pt idx="3">
                  <c:v>0.13339999999999999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D1-453B-9856-4081B3004A54}"/>
            </c:ext>
          </c:extLst>
        </c:ser>
        <c:ser>
          <c:idx val="2"/>
          <c:order val="2"/>
          <c:tx>
            <c:strRef>
              <c:f>Sheet3!$F$15</c:f>
              <c:strCache>
                <c:ptCount val="1"/>
                <c:pt idx="0">
                  <c:v>MR_L1,, cache size 4KB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-3.4413201329050944E-2"/>
                  <c:y val="-5.66585677493171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2D1-453B-9856-4081B3004A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Sheet3!$D$41:$D$44</c:f>
              <c:numCache>
                <c:formatCode>General</c:formatCod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numCache>
            </c:numRef>
          </c:cat>
          <c:val>
            <c:numRef>
              <c:f>Sheet3!$F$17:$F$20</c:f>
              <c:numCache>
                <c:formatCode>General</c:formatCode>
                <c:ptCount val="4"/>
                <c:pt idx="0">
                  <c:v>7.5499999999999998E-2</c:v>
                </c:pt>
                <c:pt idx="1">
                  <c:v>5.9900000000000002E-2</c:v>
                </c:pt>
                <c:pt idx="2">
                  <c:v>6.1899999999999997E-2</c:v>
                </c:pt>
                <c:pt idx="3">
                  <c:v>8.3000000000000004E-2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D1-453B-9856-4081B3004A54}"/>
            </c:ext>
          </c:extLst>
        </c:ser>
        <c:ser>
          <c:idx val="3"/>
          <c:order val="3"/>
          <c:tx>
            <c:strRef>
              <c:f>Sheet3!$F$23</c:f>
              <c:strCache>
                <c:ptCount val="1"/>
                <c:pt idx="0">
                  <c:v>MR_L1, cache size 8KB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-1.6643846859104413E-2"/>
                  <c:y val="-4.59125695345665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2D1-453B-9856-4081B3004A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Sheet3!$D$41:$D$44</c:f>
              <c:numCache>
                <c:formatCode>General</c:formatCod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numCache>
            </c:numRef>
          </c:cat>
          <c:val>
            <c:numRef>
              <c:f>Sheet3!$F$25:$F$28</c:f>
              <c:numCache>
                <c:formatCode>General</c:formatCode>
                <c:ptCount val="4"/>
                <c:pt idx="0">
                  <c:v>5.9499999999999997E-2</c:v>
                </c:pt>
                <c:pt idx="1">
                  <c:v>4.2500000000000003E-2</c:v>
                </c:pt>
                <c:pt idx="2">
                  <c:v>3.8600000000000002E-2</c:v>
                </c:pt>
                <c:pt idx="3">
                  <c:v>4.8300000000000003E-2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D1-453B-9856-4081B3004A54}"/>
            </c:ext>
          </c:extLst>
        </c:ser>
        <c:ser>
          <c:idx val="4"/>
          <c:order val="4"/>
          <c:tx>
            <c:strRef>
              <c:f>Sheet3!$F$31</c:f>
              <c:strCache>
                <c:ptCount val="1"/>
                <c:pt idx="0">
                  <c:v>MR_L1, cache size 16KB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8.7069453032475267E-3"/>
                  <c:y val="-2.47099526530539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2D1-453B-9856-4081B3004A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Sheet3!$D$41:$D$44</c:f>
              <c:numCache>
                <c:formatCode>General</c:formatCod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numCache>
            </c:numRef>
          </c:cat>
          <c:val>
            <c:numRef>
              <c:f>Sheet3!$F$33:$F$36</c:f>
              <c:numCache>
                <c:formatCode>General</c:formatCode>
                <c:ptCount val="4"/>
                <c:pt idx="0">
                  <c:v>4.82E-2</c:v>
                </c:pt>
                <c:pt idx="1">
                  <c:v>2.8299999999999999E-2</c:v>
                </c:pt>
                <c:pt idx="2">
                  <c:v>2.0400000000000001E-2</c:v>
                </c:pt>
                <c:pt idx="3">
                  <c:v>1.9800000000000002E-2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D1-453B-9856-4081B3004A54}"/>
            </c:ext>
          </c:extLst>
        </c:ser>
        <c:ser>
          <c:idx val="5"/>
          <c:order val="5"/>
          <c:tx>
            <c:strRef>
              <c:f>Sheet3!$F$39</c:f>
              <c:strCache>
                <c:ptCount val="1"/>
                <c:pt idx="0">
                  <c:v>MR_L1, cache size 32KB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-9.0746162410594702E-2"/>
                  <c:y val="4.23788000543141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2D1-453B-9856-4081B3004A54}"/>
                </c:ext>
              </c:extLst>
            </c:dLbl>
            <c:dLbl>
              <c:idx val="3"/>
              <c:layout>
                <c:manualLayout>
                  <c:x val="1.2650555165310808E-2"/>
                  <c:y val="1.05976807517340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2D1-453B-9856-4081B3004A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Sheet3!$D$41:$D$44</c:f>
              <c:numCache>
                <c:formatCode>General</c:formatCod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numCache>
            </c:numRef>
          </c:cat>
          <c:val>
            <c:numRef>
              <c:f>Sheet3!$F$41:$F$44</c:f>
              <c:numCache>
                <c:formatCode>General</c:formatCode>
                <c:ptCount val="4"/>
                <c:pt idx="0">
                  <c:v>4.7500000000000001E-2</c:v>
                </c:pt>
                <c:pt idx="1">
                  <c:v>2.64E-2</c:v>
                </c:pt>
                <c:pt idx="2">
                  <c:v>1.5599999999999999E-2</c:v>
                </c:pt>
                <c:pt idx="3">
                  <c:v>1.11E-2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D1-453B-9856-4081B3004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280688"/>
        <c:axId val="913194048"/>
      </c:lineChart>
      <c:catAx>
        <c:axId val="78128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Log2(BLOCKSIZE)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194048"/>
        <c:crosses val="autoZero"/>
        <c:auto val="1"/>
        <c:lblAlgn val="ctr"/>
        <c:lblOffset val="100"/>
        <c:noMultiLvlLbl val="0"/>
      </c:catAx>
      <c:valAx>
        <c:axId val="913194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Miss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8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AAT with l2 cache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Sheet2!$I$2</c:f>
              <c:strCache>
                <c:ptCount val="1"/>
                <c:pt idx="0">
                  <c:v>AAT, 1-way set associative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dLblPos val="b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62E-4E7F-88ED-45CCDF01A0CD}"/>
                </c:ext>
              </c:extLst>
            </c:dLbl>
            <c:dLbl>
              <c:idx val="1"/>
              <c:dLblPos val="b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62E-4E7F-88ED-45CCDF01A0CD}"/>
                </c:ext>
              </c:extLst>
            </c:dLbl>
            <c:dLbl>
              <c:idx val="2"/>
              <c:dLblPos val="b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62E-4E7F-88ED-45CCDF01A0CD}"/>
                </c:ext>
              </c:extLst>
            </c:dLbl>
            <c:dLbl>
              <c:idx val="3"/>
              <c:dLblPos val="b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62E-4E7F-88ED-45CCDF01A0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Sheet2!$C$24:$C$27</c:f>
              <c:numCache>
                <c:formatCode>General</c:formatCode>
                <c:ptCount val="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</c:numCache>
            </c:numRef>
          </c:cat>
          <c:val>
            <c:numRef>
              <c:f>Sheet2!$I$3:$I$6</c:f>
              <c:numCache>
                <c:formatCode>General</c:formatCode>
                <c:ptCount val="4"/>
                <c:pt idx="0">
                  <c:v>0.72174728900000007</c:v>
                </c:pt>
                <c:pt idx="1">
                  <c:v>0.72419309180000002</c:v>
                </c:pt>
                <c:pt idx="2">
                  <c:v>0.72352714280000008</c:v>
                </c:pt>
                <c:pt idx="3">
                  <c:v>0.71510760800000006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2E-4E7F-88ED-45CCDF01A0CD}"/>
            </c:ext>
          </c:extLst>
        </c:ser>
        <c:ser>
          <c:idx val="1"/>
          <c:order val="1"/>
          <c:tx>
            <c:strRef>
              <c:f>Sheet2!$I$9</c:f>
              <c:strCache>
                <c:ptCount val="1"/>
                <c:pt idx="0">
                  <c:v>AAT, 2-way set associative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0.10619216323109887"/>
                  <c:y val="6.3056639978826101E-2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62E-4E7F-88ED-45CCDF01A0CD}"/>
                </c:ext>
              </c:extLst>
            </c:dLbl>
            <c:dLbl>
              <c:idx val="2"/>
              <c:layout>
                <c:manualLayout>
                  <c:x val="3.9689056996079199E-2"/>
                  <c:y val="-2.0976973466552053E-2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62E-4E7F-88ED-45CCDF01A0CD}"/>
                </c:ext>
              </c:extLst>
            </c:dLbl>
            <c:dLbl>
              <c:idx val="3"/>
              <c:layout>
                <c:manualLayout>
                  <c:x val="-7.6764956532371391E-3"/>
                  <c:y val="5.8854959306557271E-2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62E-4E7F-88ED-45CCDF01A0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Sheet2!$C$24:$C$27</c:f>
              <c:numCache>
                <c:formatCode>General</c:formatCode>
                <c:ptCount val="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</c:numCache>
            </c:numRef>
          </c:cat>
          <c:val>
            <c:numRef>
              <c:f>Sheet2!$I$10:$I$13</c:f>
              <c:numCache>
                <c:formatCode>General</c:formatCode>
                <c:ptCount val="4"/>
                <c:pt idx="0">
                  <c:v>0.73657722400000014</c:v>
                </c:pt>
                <c:pt idx="1">
                  <c:v>0.74540784840000007</c:v>
                </c:pt>
                <c:pt idx="2">
                  <c:v>0.75847372020000003</c:v>
                </c:pt>
                <c:pt idx="3">
                  <c:v>0.74947306620000009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2E-4E7F-88ED-45CCDF01A0CD}"/>
            </c:ext>
          </c:extLst>
        </c:ser>
        <c:ser>
          <c:idx val="2"/>
          <c:order val="2"/>
          <c:tx>
            <c:strRef>
              <c:f>Sheet2!$I$16</c:f>
              <c:strCache>
                <c:ptCount val="1"/>
                <c:pt idx="0">
                  <c:v>AAT, 4-way set associative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0.13252803476181438"/>
                  <c:y val="-1.2573612122014161E-2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62E-4E7F-88ED-45CCDF01A0CD}"/>
                </c:ext>
              </c:extLst>
            </c:dLbl>
            <c:dLbl>
              <c:idx val="1"/>
              <c:layout>
                <c:manualLayout>
                  <c:x val="-5.7256903546656912E-3"/>
                  <c:y val="3.7846555945212655E-2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62E-4E7F-88ED-45CCDF01A0CD}"/>
                </c:ext>
              </c:extLst>
            </c:dLbl>
            <c:dLbl>
              <c:idx val="2"/>
              <c:layout>
                <c:manualLayout>
                  <c:x val="-4.2790991027524553E-2"/>
                  <c:y val="8.4065043340170717E-2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62E-4E7F-88ED-45CCDF01A0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Sheet2!$C$24:$C$27</c:f>
              <c:numCache>
                <c:formatCode>General</c:formatCode>
                <c:ptCount val="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</c:numCache>
            </c:numRef>
          </c:cat>
          <c:val>
            <c:numRef>
              <c:f>Sheet2!$I$17:$I$20</c:f>
              <c:numCache>
                <c:formatCode>General</c:formatCode>
                <c:ptCount val="4"/>
                <c:pt idx="0">
                  <c:v>0.7398475228000001</c:v>
                </c:pt>
                <c:pt idx="1">
                  <c:v>0.73913456880000006</c:v>
                </c:pt>
                <c:pt idx="2">
                  <c:v>0.75451540659999994</c:v>
                </c:pt>
                <c:pt idx="3">
                  <c:v>0.77391396999999995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2E-4E7F-88ED-45CCDF01A0CD}"/>
            </c:ext>
          </c:extLst>
        </c:ser>
        <c:ser>
          <c:idx val="3"/>
          <c:order val="3"/>
          <c:tx>
            <c:strRef>
              <c:f>Sheet2!$I$23</c:f>
              <c:strCache>
                <c:ptCount val="1"/>
                <c:pt idx="0">
                  <c:v>AAT, 8-way set associative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6D1EB87-AE01-449E-871E-30E9CAE0CDDD}" type="VALUE">
                      <a:rPr lang="en-US" b="1">
                        <a:solidFill>
                          <a:srgbClr val="FF0000"/>
                        </a:solidFill>
                      </a:rPr>
                      <a:pPr/>
                      <a:t>[VALUE]</a:t>
                    </a:fld>
                    <a:r>
                      <a:rPr lang="en-US" b="1">
                        <a:solidFill>
                          <a:srgbClr val="FF0000"/>
                        </a:solidFill>
                      </a:rPr>
                      <a:t>(DUMMY</a:t>
                    </a:r>
                    <a:r>
                      <a:rPr lang="en-US" b="1" baseline="0">
                        <a:solidFill>
                          <a:srgbClr val="FF0000"/>
                        </a:solidFill>
                      </a:rPr>
                      <a:t> Data point</a:t>
                    </a:r>
                    <a:r>
                      <a:rPr lang="en-US" b="1">
                        <a:solidFill>
                          <a:srgbClr val="FF0000"/>
                        </a:solidFill>
                      </a:rPr>
                      <a:t>)</a:t>
                    </a:r>
                  </a:p>
                </c:rich>
              </c:tx>
              <c:dLblPos val="t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62E-4E7F-88ED-45CCDF01A0CD}"/>
                </c:ext>
              </c:extLst>
            </c:dLbl>
            <c:dLbl>
              <c:idx val="2"/>
              <c:layout>
                <c:manualLayout>
                  <c:x val="-8.1807096998954859E-2"/>
                  <c:y val="-0.11341394825646801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62E-4E7F-88ED-45CCDF01A0CD}"/>
                </c:ext>
              </c:extLst>
            </c:dLbl>
            <c:dLbl>
              <c:idx val="3"/>
              <c:layout>
                <c:manualLayout>
                  <c:x val="-3.1086159236095368E-2"/>
                  <c:y val="-1.2573612122014161E-2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62E-4E7F-88ED-45CCDF01A0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Sheet2!$C$24:$C$27</c:f>
              <c:numCache>
                <c:formatCode>General</c:formatCode>
                <c:ptCount val="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</c:numCache>
            </c:numRef>
          </c:cat>
          <c:val>
            <c:numRef>
              <c:f>Sheet2!$I$24:$I$27</c:f>
              <c:numCache>
                <c:formatCode>General</c:formatCode>
                <c:ptCount val="4"/>
                <c:pt idx="0">
                  <c:v>0.75</c:v>
                </c:pt>
                <c:pt idx="1">
                  <c:v>0.76033917880000013</c:v>
                </c:pt>
                <c:pt idx="2">
                  <c:v>0.75654855679999988</c:v>
                </c:pt>
                <c:pt idx="3">
                  <c:v>0.75466629799999996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2E-4E7F-88ED-45CCDF01A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911760"/>
        <c:axId val="818905520"/>
      </c:lineChart>
      <c:catAx>
        <c:axId val="81891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</a:t>
                </a:r>
                <a:r>
                  <a:rPr lang="en-US" sz="1200" b="1" i="0" u="none" strike="noStrike" kern="1200" cap="all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9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(SIZE)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05520"/>
        <c:crosses val="autoZero"/>
        <c:auto val="1"/>
        <c:lblAlgn val="ctr"/>
        <c:lblOffset val="100"/>
        <c:noMultiLvlLbl val="0"/>
      </c:catAx>
      <c:valAx>
        <c:axId val="818905520"/>
        <c:scaling>
          <c:orientation val="minMax"/>
          <c:min val="0.7000000000000000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1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AAT vs. CACHE l1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Sheet4!$J$5</c:f>
              <c:strCache>
                <c:ptCount val="1"/>
                <c:pt idx="0">
                  <c:v>AAT, 16KB L2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Sheet4!$C$19:$C$22</c:f>
              <c:numCache>
                <c:formatCode>General</c:formatCode>
                <c:ptCount val="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</c:numCache>
            </c:numRef>
          </c:cat>
          <c:val>
            <c:numRef>
              <c:f>Sheet4!$J$6:$J$9</c:f>
              <c:numCache>
                <c:formatCode>General</c:formatCode>
                <c:ptCount val="4"/>
                <c:pt idx="0">
                  <c:v>0.7398475228000001</c:v>
                </c:pt>
                <c:pt idx="1">
                  <c:v>0.73565405279999996</c:v>
                </c:pt>
                <c:pt idx="2">
                  <c:v>0.75451540659999994</c:v>
                </c:pt>
                <c:pt idx="3">
                  <c:v>0.77391396999999995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5B-4067-88EB-7A0125CB119E}"/>
            </c:ext>
          </c:extLst>
        </c:ser>
        <c:ser>
          <c:idx val="1"/>
          <c:order val="1"/>
          <c:tx>
            <c:strRef>
              <c:f>Sheet4!$J$11</c:f>
              <c:strCache>
                <c:ptCount val="1"/>
                <c:pt idx="0">
                  <c:v>AAT, 32KB L2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Sheet4!$C$19:$C$22</c:f>
              <c:numCache>
                <c:formatCode>General</c:formatCode>
                <c:ptCount val="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</c:numCache>
            </c:numRef>
          </c:cat>
          <c:val>
            <c:numRef>
              <c:f>Sheet4!$J$12:$J$15</c:f>
              <c:numCache>
                <c:formatCode>General</c:formatCode>
                <c:ptCount val="4"/>
                <c:pt idx="0">
                  <c:v>0.7108779958</c:v>
                </c:pt>
                <c:pt idx="1">
                  <c:v>0.70645639079999989</c:v>
                </c:pt>
                <c:pt idx="2">
                  <c:v>0.72838882360000001</c:v>
                </c:pt>
                <c:pt idx="3">
                  <c:v>0.74999497000000015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5B-4067-88EB-7A0125CB119E}"/>
            </c:ext>
          </c:extLst>
        </c:ser>
        <c:ser>
          <c:idx val="2"/>
          <c:order val="2"/>
          <c:tx>
            <c:strRef>
              <c:f>Sheet4!$J$18</c:f>
              <c:strCache>
                <c:ptCount val="1"/>
                <c:pt idx="0">
                  <c:v>AAT, 64KB L2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7.2955149697810209E-2"/>
                  <c:y val="5.57500390494515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5B-4067-88EB-7A0125CB119E}"/>
                </c:ext>
              </c:extLst>
            </c:dLbl>
            <c:dLbl>
              <c:idx val="1"/>
              <c:dLblPos val="b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5B-4067-88EB-7A0125CB119E}"/>
                </c:ext>
              </c:extLst>
            </c:dLbl>
            <c:dLbl>
              <c:idx val="2"/>
              <c:layout>
                <c:manualLayout>
                  <c:x val="-3.9728310853908828E-2"/>
                  <c:y val="6.68944892594995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5B-4067-88EB-7A0125CB119E}"/>
                </c:ext>
              </c:extLst>
            </c:dLbl>
            <c:dLbl>
              <c:idx val="3"/>
              <c:layout>
                <c:manualLayout>
                  <c:x val="-4.7968566887196362E-2"/>
                  <c:y val="6.68944892594995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5B-4067-88EB-7A0125CB11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Sheet4!$C$19:$C$22</c:f>
              <c:numCache>
                <c:formatCode>General</c:formatCode>
                <c:ptCount val="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</c:numCache>
            </c:numRef>
          </c:cat>
          <c:val>
            <c:numRef>
              <c:f>Sheet4!$J$19:$J$22</c:f>
              <c:numCache>
                <c:formatCode>General</c:formatCode>
                <c:ptCount val="4"/>
                <c:pt idx="0">
                  <c:v>0.70342049379999994</c:v>
                </c:pt>
                <c:pt idx="1">
                  <c:v>0.69930199680000005</c:v>
                </c:pt>
                <c:pt idx="2">
                  <c:v>0.72176687859999999</c:v>
                </c:pt>
                <c:pt idx="3">
                  <c:v>0.74350267000000003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5B-4067-88EB-7A0125CB119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35913120"/>
        <c:axId val="1035914080"/>
      </c:lineChart>
      <c:catAx>
        <c:axId val="103591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LOG2(L1 SIZE)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914080"/>
        <c:crosses val="autoZero"/>
        <c:auto val="1"/>
        <c:lblAlgn val="ctr"/>
        <c:lblOffset val="100"/>
        <c:noMultiLvlLbl val="0"/>
      </c:catAx>
      <c:valAx>
        <c:axId val="1035914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91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385575</xdr:colOff>
      <xdr:row>1</xdr:row>
      <xdr:rowOff>81900</xdr:rowOff>
    </xdr:from>
    <xdr:to>
      <xdr:col>28</xdr:col>
      <xdr:colOff>200163</xdr:colOff>
      <xdr:row>18</xdr:row>
      <xdr:rowOff>48317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B8FE8E-69A7-3736-C918-C04144BC0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211843</xdr:colOff>
      <xdr:row>92</xdr:row>
      <xdr:rowOff>149409</xdr:rowOff>
    </xdr:from>
    <xdr:to>
      <xdr:col>23</xdr:col>
      <xdr:colOff>500529</xdr:colOff>
      <xdr:row>115</xdr:row>
      <xdr:rowOff>82176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FDBF2E-8FFA-2CFD-F940-F302E4EFC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423862</xdr:colOff>
      <xdr:row>2</xdr:row>
      <xdr:rowOff>31221</xdr:rowOff>
    </xdr:from>
    <xdr:to>
      <xdr:col>18</xdr:col>
      <xdr:colOff>220133</xdr:colOff>
      <xdr:row>21</xdr:row>
      <xdr:rowOff>98425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947AD5-CAB0-952C-42AE-7E1320167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535608</xdr:colOff>
      <xdr:row>0</xdr:row>
      <xdr:rowOff>257314</xdr:rowOff>
    </xdr:from>
    <xdr:to>
      <xdr:col>22</xdr:col>
      <xdr:colOff>364436</xdr:colOff>
      <xdr:row>14</xdr:row>
      <xdr:rowOff>353392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EECF88-638A-D147-77EB-4C885A60E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231774</xdr:colOff>
      <xdr:row>2</xdr:row>
      <xdr:rowOff>38100</xdr:rowOff>
    </xdr:from>
    <xdr:to>
      <xdr:col>20</xdr:col>
      <xdr:colOff>469899</xdr:colOff>
      <xdr:row>17</xdr:row>
      <xdr:rowOff>311150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AFB983-186B-890D-5C21-ADA5840CE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9"/>
  <sheetViews>
    <sheetView tabSelected="1" zoomScale="107" zoomScaleNormal="130" workbookViewId="0">
      <selection activeCell="F15" sqref="F15:J15"/>
    </sheetView>
  </sheetViews>
  <sheetFormatPr defaultRowHeight="14.5" x14ac:dyDescent="0.35"/>
  <cols>
    <col min="2" max="2" width="10.08984375" customWidth="1"/>
    <col min="6" max="9" width="8.7265625" customWidth="1"/>
  </cols>
  <sheetData>
    <row r="1" spans="1:14" x14ac:dyDescent="0.35">
      <c r="A1" s="2" t="s">
        <v>0</v>
      </c>
      <c r="B1" s="2" t="s">
        <v>2</v>
      </c>
      <c r="C1" s="2" t="s">
        <v>1</v>
      </c>
      <c r="D1" s="2"/>
      <c r="E1" s="2" t="s">
        <v>3</v>
      </c>
      <c r="F1" s="4" t="s">
        <v>9</v>
      </c>
      <c r="G1" s="4"/>
      <c r="H1" s="4"/>
      <c r="I1" s="4"/>
      <c r="J1" s="4"/>
      <c r="K1" s="6"/>
      <c r="L1" s="6"/>
      <c r="M1" s="6"/>
      <c r="N1" s="6"/>
    </row>
    <row r="2" spans="1:14" s="1" customFormat="1" ht="58" x14ac:dyDescent="0.35">
      <c r="A2" s="3"/>
      <c r="B2" s="3"/>
      <c r="C2" s="3"/>
      <c r="D2" s="3"/>
      <c r="E2" s="3"/>
      <c r="F2" s="3" t="s">
        <v>5</v>
      </c>
      <c r="G2" s="3" t="s">
        <v>6</v>
      </c>
      <c r="H2" s="3" t="s">
        <v>7</v>
      </c>
      <c r="I2" s="3" t="s">
        <v>8</v>
      </c>
      <c r="J2" s="3" t="s">
        <v>15</v>
      </c>
      <c r="K2" s="3"/>
      <c r="L2" s="3"/>
      <c r="M2" s="3"/>
      <c r="N2" s="3"/>
    </row>
    <row r="3" spans="1:14" x14ac:dyDescent="0.35">
      <c r="A3">
        <v>1</v>
      </c>
      <c r="B3">
        <f>2^C3</f>
        <v>1024</v>
      </c>
      <c r="C3">
        <v>10</v>
      </c>
      <c r="E3">
        <v>32</v>
      </c>
      <c r="F3">
        <v>63640</v>
      </c>
      <c r="G3">
        <v>12300</v>
      </c>
      <c r="H3">
        <v>36360</v>
      </c>
      <c r="I3">
        <v>7046</v>
      </c>
      <c r="J3" s="8">
        <f>(G3+I3)/(F3+H3)</f>
        <v>0.19345999999999999</v>
      </c>
    </row>
    <row r="4" spans="1:14" x14ac:dyDescent="0.35">
      <c r="A4">
        <v>2</v>
      </c>
      <c r="B4">
        <f t="shared" ref="B4:B13" si="0">2^C4</f>
        <v>2048</v>
      </c>
      <c r="C4">
        <v>11</v>
      </c>
      <c r="E4">
        <v>32</v>
      </c>
      <c r="F4">
        <v>63640</v>
      </c>
      <c r="G4">
        <v>8905</v>
      </c>
      <c r="H4">
        <v>36360</v>
      </c>
      <c r="I4">
        <v>5869</v>
      </c>
      <c r="J4" s="8">
        <f t="shared" ref="J4:J13" si="1">(G4+I4)/(F4+H4)</f>
        <v>0.14774000000000001</v>
      </c>
    </row>
    <row r="5" spans="1:14" x14ac:dyDescent="0.35">
      <c r="A5">
        <v>3</v>
      </c>
      <c r="B5">
        <f t="shared" si="0"/>
        <v>4096</v>
      </c>
      <c r="C5">
        <v>12</v>
      </c>
      <c r="E5">
        <v>32</v>
      </c>
      <c r="F5">
        <v>63640</v>
      </c>
      <c r="G5">
        <v>5883</v>
      </c>
      <c r="H5">
        <v>36360</v>
      </c>
      <c r="I5">
        <v>4134</v>
      </c>
      <c r="J5" s="8">
        <f t="shared" si="1"/>
        <v>0.10017</v>
      </c>
    </row>
    <row r="6" spans="1:14" x14ac:dyDescent="0.35">
      <c r="A6">
        <v>4</v>
      </c>
      <c r="B6">
        <f t="shared" si="0"/>
        <v>8192</v>
      </c>
      <c r="C6">
        <v>13</v>
      </c>
      <c r="E6">
        <v>32</v>
      </c>
      <c r="F6">
        <v>63640</v>
      </c>
      <c r="G6">
        <v>3327</v>
      </c>
      <c r="H6">
        <v>36360</v>
      </c>
      <c r="I6">
        <v>3373</v>
      </c>
      <c r="J6" s="8">
        <f t="shared" si="1"/>
        <v>6.7000000000000004E-2</v>
      </c>
    </row>
    <row r="7" spans="1:14" x14ac:dyDescent="0.35">
      <c r="A7">
        <v>5</v>
      </c>
      <c r="B7">
        <f t="shared" si="0"/>
        <v>16384</v>
      </c>
      <c r="C7">
        <v>14</v>
      </c>
      <c r="E7">
        <v>32</v>
      </c>
      <c r="F7">
        <v>63640</v>
      </c>
      <c r="G7">
        <v>1932</v>
      </c>
      <c r="H7">
        <v>36360</v>
      </c>
      <c r="I7">
        <v>2677</v>
      </c>
      <c r="J7" s="8">
        <f t="shared" si="1"/>
        <v>4.6089999999999999E-2</v>
      </c>
    </row>
    <row r="8" spans="1:14" x14ac:dyDescent="0.35">
      <c r="A8">
        <v>6</v>
      </c>
      <c r="B8">
        <f t="shared" si="0"/>
        <v>32768</v>
      </c>
      <c r="C8">
        <v>15</v>
      </c>
      <c r="E8">
        <v>32</v>
      </c>
      <c r="F8">
        <v>63640</v>
      </c>
      <c r="G8">
        <v>1356</v>
      </c>
      <c r="H8">
        <v>36360</v>
      </c>
      <c r="I8">
        <v>2412</v>
      </c>
      <c r="J8" s="8">
        <f t="shared" si="1"/>
        <v>3.7679999999999998E-2</v>
      </c>
    </row>
    <row r="9" spans="1:14" x14ac:dyDescent="0.35">
      <c r="A9">
        <v>7</v>
      </c>
      <c r="B9">
        <f t="shared" si="0"/>
        <v>65536</v>
      </c>
      <c r="C9">
        <v>16</v>
      </c>
      <c r="E9">
        <v>32</v>
      </c>
      <c r="F9">
        <v>63640</v>
      </c>
      <c r="G9">
        <v>986</v>
      </c>
      <c r="H9">
        <v>36360</v>
      </c>
      <c r="I9">
        <v>2306</v>
      </c>
      <c r="J9" s="8">
        <f t="shared" si="1"/>
        <v>3.2919999999999998E-2</v>
      </c>
    </row>
    <row r="10" spans="1:14" x14ac:dyDescent="0.35">
      <c r="A10">
        <v>8</v>
      </c>
      <c r="B10">
        <f t="shared" si="0"/>
        <v>131072</v>
      </c>
      <c r="C10">
        <v>17</v>
      </c>
      <c r="E10">
        <v>32</v>
      </c>
      <c r="F10">
        <v>63640</v>
      </c>
      <c r="G10">
        <v>937</v>
      </c>
      <c r="H10">
        <v>36360</v>
      </c>
      <c r="I10">
        <v>2296</v>
      </c>
      <c r="J10" s="8">
        <f t="shared" si="1"/>
        <v>3.2329999999999998E-2</v>
      </c>
    </row>
    <row r="11" spans="1:14" x14ac:dyDescent="0.35">
      <c r="A11">
        <v>9</v>
      </c>
      <c r="B11">
        <f t="shared" si="0"/>
        <v>262144</v>
      </c>
      <c r="C11">
        <v>18</v>
      </c>
      <c r="E11">
        <v>32</v>
      </c>
      <c r="F11">
        <v>63640</v>
      </c>
      <c r="G11">
        <v>544</v>
      </c>
      <c r="H11">
        <v>36360</v>
      </c>
      <c r="I11">
        <v>2040</v>
      </c>
      <c r="J11" s="8">
        <f t="shared" si="1"/>
        <v>2.5839999999999998E-2</v>
      </c>
    </row>
    <row r="12" spans="1:14" x14ac:dyDescent="0.35">
      <c r="A12">
        <v>10</v>
      </c>
      <c r="B12">
        <f t="shared" si="0"/>
        <v>524288</v>
      </c>
      <c r="C12">
        <v>19</v>
      </c>
      <c r="E12">
        <v>32</v>
      </c>
      <c r="F12">
        <v>63640</v>
      </c>
      <c r="G12">
        <v>544</v>
      </c>
      <c r="H12">
        <v>36360</v>
      </c>
      <c r="I12">
        <v>2040</v>
      </c>
      <c r="J12" s="8">
        <f t="shared" si="1"/>
        <v>2.5839999999999998E-2</v>
      </c>
    </row>
    <row r="13" spans="1:14" x14ac:dyDescent="0.35">
      <c r="A13">
        <v>11</v>
      </c>
      <c r="B13">
        <f t="shared" si="0"/>
        <v>1048576</v>
      </c>
      <c r="C13">
        <v>20</v>
      </c>
      <c r="E13">
        <v>32</v>
      </c>
      <c r="F13">
        <v>63640</v>
      </c>
      <c r="G13">
        <v>544</v>
      </c>
      <c r="H13">
        <v>36360</v>
      </c>
      <c r="I13">
        <v>2040</v>
      </c>
      <c r="J13" s="8">
        <f t="shared" si="1"/>
        <v>2.5839999999999998E-2</v>
      </c>
    </row>
    <row r="15" spans="1:14" x14ac:dyDescent="0.35">
      <c r="A15" s="2" t="s">
        <v>0</v>
      </c>
      <c r="B15" s="2" t="s">
        <v>2</v>
      </c>
      <c r="C15" s="2" t="s">
        <v>1</v>
      </c>
      <c r="D15" s="2"/>
      <c r="E15" s="2" t="s">
        <v>3</v>
      </c>
      <c r="F15" s="4" t="s">
        <v>10</v>
      </c>
      <c r="G15" s="4"/>
      <c r="H15" s="4"/>
      <c r="I15" s="4"/>
      <c r="J15" s="4"/>
    </row>
    <row r="16" spans="1:14" ht="58" x14ac:dyDescent="0.35">
      <c r="A16" s="3"/>
      <c r="B16" s="3"/>
      <c r="C16" s="3"/>
      <c r="D16" s="3"/>
      <c r="E16" s="3"/>
      <c r="F16" s="3" t="s">
        <v>5</v>
      </c>
      <c r="G16" s="3" t="s">
        <v>6</v>
      </c>
      <c r="H16" s="3" t="s">
        <v>7</v>
      </c>
      <c r="I16" s="3" t="s">
        <v>8</v>
      </c>
      <c r="J16" s="3" t="s">
        <v>14</v>
      </c>
    </row>
    <row r="17" spans="1:10" x14ac:dyDescent="0.35">
      <c r="A17">
        <v>1</v>
      </c>
      <c r="B17">
        <f>2^C17</f>
        <v>1024</v>
      </c>
      <c r="C17">
        <v>10</v>
      </c>
      <c r="E17">
        <v>32</v>
      </c>
      <c r="F17">
        <v>63640</v>
      </c>
      <c r="G17">
        <v>9623</v>
      </c>
      <c r="H17">
        <v>36360</v>
      </c>
      <c r="I17">
        <v>5980</v>
      </c>
      <c r="J17" s="8">
        <f>(G17+I17)/(F17+H17)</f>
        <v>0.15603</v>
      </c>
    </row>
    <row r="18" spans="1:10" x14ac:dyDescent="0.35">
      <c r="A18">
        <v>2</v>
      </c>
      <c r="B18">
        <f t="shared" ref="B18:B27" si="2">2^C18</f>
        <v>2048</v>
      </c>
      <c r="C18">
        <v>11</v>
      </c>
      <c r="E18">
        <v>32</v>
      </c>
      <c r="F18">
        <v>63640</v>
      </c>
      <c r="G18">
        <v>5994</v>
      </c>
      <c r="H18">
        <v>36360</v>
      </c>
      <c r="I18">
        <v>4720</v>
      </c>
      <c r="J18" s="8">
        <f t="shared" ref="J18:J27" si="3">(G18+I18)/(F18+H18)</f>
        <v>0.10714</v>
      </c>
    </row>
    <row r="19" spans="1:10" x14ac:dyDescent="0.35">
      <c r="A19">
        <v>3</v>
      </c>
      <c r="B19">
        <f t="shared" si="2"/>
        <v>4096</v>
      </c>
      <c r="C19">
        <v>12</v>
      </c>
      <c r="E19">
        <v>32</v>
      </c>
      <c r="J19" s="8">
        <v>7.5300000000000006E-2</v>
      </c>
    </row>
    <row r="20" spans="1:10" x14ac:dyDescent="0.35">
      <c r="A20">
        <v>4</v>
      </c>
      <c r="B20">
        <f t="shared" si="2"/>
        <v>8192</v>
      </c>
      <c r="C20">
        <v>13</v>
      </c>
      <c r="E20">
        <v>32</v>
      </c>
      <c r="J20" s="8">
        <v>4.7300000000000002E-2</v>
      </c>
    </row>
    <row r="21" spans="1:10" x14ac:dyDescent="0.35">
      <c r="A21">
        <v>5</v>
      </c>
      <c r="B21">
        <f t="shared" si="2"/>
        <v>16384</v>
      </c>
      <c r="C21">
        <v>14</v>
      </c>
      <c r="E21">
        <v>32</v>
      </c>
      <c r="J21" s="8">
        <v>3.3799999999999997E-2</v>
      </c>
    </row>
    <row r="22" spans="1:10" x14ac:dyDescent="0.35">
      <c r="A22">
        <v>6</v>
      </c>
      <c r="B22">
        <f t="shared" si="2"/>
        <v>32768</v>
      </c>
      <c r="C22">
        <v>15</v>
      </c>
      <c r="E22">
        <v>32</v>
      </c>
      <c r="J22" s="8">
        <v>2.8799999999999999E-2</v>
      </c>
    </row>
    <row r="23" spans="1:10" x14ac:dyDescent="0.35">
      <c r="A23">
        <v>7</v>
      </c>
      <c r="B23">
        <f t="shared" si="2"/>
        <v>65536</v>
      </c>
      <c r="C23">
        <v>16</v>
      </c>
      <c r="E23">
        <v>32</v>
      </c>
      <c r="J23" s="8">
        <v>2.7099999999999999E-2</v>
      </c>
    </row>
    <row r="24" spans="1:10" x14ac:dyDescent="0.35">
      <c r="A24">
        <v>8</v>
      </c>
      <c r="B24">
        <f t="shared" si="2"/>
        <v>131072</v>
      </c>
      <c r="C24">
        <v>17</v>
      </c>
      <c r="E24">
        <v>32</v>
      </c>
      <c r="J24" s="8">
        <v>2.5899999999999999E-2</v>
      </c>
    </row>
    <row r="25" spans="1:10" x14ac:dyDescent="0.35">
      <c r="A25">
        <v>9</v>
      </c>
      <c r="B25">
        <f t="shared" si="2"/>
        <v>262144</v>
      </c>
      <c r="C25">
        <v>18</v>
      </c>
      <c r="E25">
        <v>32</v>
      </c>
      <c r="J25" s="8">
        <v>2.58E-2</v>
      </c>
    </row>
    <row r="26" spans="1:10" x14ac:dyDescent="0.35">
      <c r="A26">
        <v>10</v>
      </c>
      <c r="B26">
        <f t="shared" si="2"/>
        <v>524288</v>
      </c>
      <c r="C26">
        <v>19</v>
      </c>
      <c r="E26">
        <v>32</v>
      </c>
      <c r="J26" s="8">
        <v>2.58E-2</v>
      </c>
    </row>
    <row r="27" spans="1:10" x14ac:dyDescent="0.35">
      <c r="A27">
        <v>11</v>
      </c>
      <c r="B27">
        <f t="shared" si="2"/>
        <v>1048576</v>
      </c>
      <c r="C27">
        <v>20</v>
      </c>
      <c r="E27">
        <v>32</v>
      </c>
      <c r="J27" s="8">
        <v>2.58E-2</v>
      </c>
    </row>
    <row r="29" spans="1:10" x14ac:dyDescent="0.35">
      <c r="A29" s="2" t="s">
        <v>0</v>
      </c>
      <c r="B29" s="2" t="s">
        <v>2</v>
      </c>
      <c r="C29" s="2" t="s">
        <v>1</v>
      </c>
      <c r="D29" s="2"/>
      <c r="E29" s="2" t="s">
        <v>3</v>
      </c>
      <c r="F29" s="4" t="s">
        <v>11</v>
      </c>
      <c r="G29" s="4"/>
      <c r="H29" s="4"/>
      <c r="I29" s="4"/>
      <c r="J29" s="4"/>
    </row>
    <row r="30" spans="1:10" ht="58" x14ac:dyDescent="0.35">
      <c r="A30" s="3"/>
      <c r="B30" s="3"/>
      <c r="C30" s="3"/>
      <c r="D30" s="3"/>
      <c r="E30" s="3"/>
      <c r="F30" s="3" t="s">
        <v>5</v>
      </c>
      <c r="G30" s="3" t="s">
        <v>6</v>
      </c>
      <c r="H30" s="3" t="s">
        <v>7</v>
      </c>
      <c r="I30" s="3" t="s">
        <v>8</v>
      </c>
      <c r="J30" s="3" t="s">
        <v>16</v>
      </c>
    </row>
    <row r="31" spans="1:10" x14ac:dyDescent="0.35">
      <c r="A31">
        <v>1</v>
      </c>
      <c r="B31">
        <f>2^C31</f>
        <v>1024</v>
      </c>
      <c r="C31">
        <v>10</v>
      </c>
      <c r="E31">
        <v>32</v>
      </c>
      <c r="J31" s="8">
        <v>0.14269999999999999</v>
      </c>
    </row>
    <row r="32" spans="1:10" x14ac:dyDescent="0.35">
      <c r="A32">
        <v>2</v>
      </c>
      <c r="B32">
        <f t="shared" ref="B32:B41" si="4">2^C32</f>
        <v>2048</v>
      </c>
      <c r="C32">
        <v>11</v>
      </c>
      <c r="E32">
        <v>32</v>
      </c>
      <c r="J32" s="8">
        <v>9.6199999999999994E-2</v>
      </c>
    </row>
    <row r="33" spans="1:10" x14ac:dyDescent="0.35">
      <c r="A33">
        <v>3</v>
      </c>
      <c r="B33">
        <f t="shared" si="4"/>
        <v>4096</v>
      </c>
      <c r="C33">
        <v>12</v>
      </c>
      <c r="E33">
        <v>32</v>
      </c>
      <c r="J33" s="8">
        <v>5.9900000000000002E-2</v>
      </c>
    </row>
    <row r="34" spans="1:10" x14ac:dyDescent="0.35">
      <c r="A34">
        <v>4</v>
      </c>
      <c r="B34">
        <f t="shared" si="4"/>
        <v>8192</v>
      </c>
      <c r="C34">
        <v>13</v>
      </c>
      <c r="E34">
        <v>32</v>
      </c>
      <c r="J34" s="8">
        <v>4.2500000000000003E-2</v>
      </c>
    </row>
    <row r="35" spans="1:10" x14ac:dyDescent="0.35">
      <c r="A35">
        <v>5</v>
      </c>
      <c r="B35">
        <f t="shared" si="4"/>
        <v>16384</v>
      </c>
      <c r="C35">
        <v>14</v>
      </c>
      <c r="E35">
        <v>32</v>
      </c>
      <c r="J35" s="8">
        <v>2.8299999999999999E-2</v>
      </c>
    </row>
    <row r="36" spans="1:10" x14ac:dyDescent="0.35">
      <c r="A36">
        <v>6</v>
      </c>
      <c r="B36">
        <f t="shared" si="4"/>
        <v>32768</v>
      </c>
      <c r="C36">
        <v>15</v>
      </c>
      <c r="E36">
        <v>32</v>
      </c>
      <c r="J36" s="8">
        <v>2.64E-2</v>
      </c>
    </row>
    <row r="37" spans="1:10" x14ac:dyDescent="0.35">
      <c r="A37">
        <v>7</v>
      </c>
      <c r="B37">
        <f t="shared" si="4"/>
        <v>65536</v>
      </c>
      <c r="C37">
        <v>16</v>
      </c>
      <c r="E37">
        <v>32</v>
      </c>
      <c r="J37" s="8">
        <v>2.5999999999999999E-2</v>
      </c>
    </row>
    <row r="38" spans="1:10" x14ac:dyDescent="0.35">
      <c r="A38">
        <v>8</v>
      </c>
      <c r="B38">
        <f t="shared" si="4"/>
        <v>131072</v>
      </c>
      <c r="C38">
        <v>17</v>
      </c>
      <c r="E38">
        <v>32</v>
      </c>
      <c r="J38" s="8">
        <v>2.58E-2</v>
      </c>
    </row>
    <row r="39" spans="1:10" x14ac:dyDescent="0.35">
      <c r="A39">
        <v>9</v>
      </c>
      <c r="B39">
        <f t="shared" si="4"/>
        <v>262144</v>
      </c>
      <c r="C39">
        <v>18</v>
      </c>
      <c r="E39">
        <v>32</v>
      </c>
      <c r="J39" s="8">
        <v>2.58E-2</v>
      </c>
    </row>
    <row r="40" spans="1:10" x14ac:dyDescent="0.35">
      <c r="A40">
        <v>10</v>
      </c>
      <c r="B40">
        <f t="shared" si="4"/>
        <v>524288</v>
      </c>
      <c r="C40">
        <v>19</v>
      </c>
      <c r="E40">
        <v>32</v>
      </c>
      <c r="J40" s="8">
        <v>2.58E-2</v>
      </c>
    </row>
    <row r="41" spans="1:10" x14ac:dyDescent="0.35">
      <c r="A41">
        <v>11</v>
      </c>
      <c r="B41">
        <f>2^C41</f>
        <v>1048576</v>
      </c>
      <c r="C41">
        <v>20</v>
      </c>
      <c r="E41">
        <v>32</v>
      </c>
      <c r="J41" s="8">
        <v>2.58E-2</v>
      </c>
    </row>
    <row r="43" spans="1:10" x14ac:dyDescent="0.35">
      <c r="A43" s="2" t="s">
        <v>0</v>
      </c>
      <c r="B43" s="2" t="s">
        <v>2</v>
      </c>
      <c r="C43" s="2" t="s">
        <v>1</v>
      </c>
      <c r="D43" s="2"/>
      <c r="E43" s="2" t="s">
        <v>3</v>
      </c>
      <c r="F43" s="4" t="s">
        <v>12</v>
      </c>
      <c r="G43" s="4"/>
      <c r="H43" s="4"/>
      <c r="I43" s="4"/>
      <c r="J43" s="4"/>
    </row>
    <row r="44" spans="1:10" ht="58" x14ac:dyDescent="0.35">
      <c r="A44" s="3"/>
      <c r="B44" s="3"/>
      <c r="C44" s="3"/>
      <c r="D44" s="3"/>
      <c r="E44" s="3"/>
      <c r="F44" s="3" t="s">
        <v>5</v>
      </c>
      <c r="G44" s="3" t="s">
        <v>6</v>
      </c>
      <c r="H44" s="3" t="s">
        <v>7</v>
      </c>
      <c r="I44" s="3" t="s">
        <v>8</v>
      </c>
      <c r="J44" s="3" t="s">
        <v>17</v>
      </c>
    </row>
    <row r="45" spans="1:10" x14ac:dyDescent="0.35">
      <c r="A45">
        <v>1</v>
      </c>
      <c r="B45">
        <f>2^C45</f>
        <v>1024</v>
      </c>
      <c r="C45">
        <v>10</v>
      </c>
      <c r="E45">
        <v>32</v>
      </c>
      <c r="J45" s="8">
        <v>0.1363</v>
      </c>
    </row>
    <row r="46" spans="1:10" x14ac:dyDescent="0.35">
      <c r="A46">
        <v>2</v>
      </c>
      <c r="B46">
        <f t="shared" ref="B46:B54" si="5">2^C46</f>
        <v>2048</v>
      </c>
      <c r="C46">
        <v>11</v>
      </c>
      <c r="E46">
        <v>32</v>
      </c>
      <c r="J46" s="8">
        <v>9.0700000000000003E-2</v>
      </c>
    </row>
    <row r="47" spans="1:10" x14ac:dyDescent="0.35">
      <c r="A47">
        <v>3</v>
      </c>
      <c r="B47">
        <f t="shared" si="5"/>
        <v>4096</v>
      </c>
      <c r="C47">
        <v>12</v>
      </c>
      <c r="E47">
        <v>32</v>
      </c>
      <c r="J47" s="8">
        <v>5.3699999999999998E-2</v>
      </c>
    </row>
    <row r="48" spans="1:10" x14ac:dyDescent="0.35">
      <c r="A48">
        <v>4</v>
      </c>
      <c r="B48">
        <f t="shared" si="5"/>
        <v>8192</v>
      </c>
      <c r="C48">
        <v>13</v>
      </c>
      <c r="E48">
        <v>32</v>
      </c>
      <c r="J48" s="8">
        <v>3.95E-2</v>
      </c>
    </row>
    <row r="49" spans="1:11" x14ac:dyDescent="0.35">
      <c r="A49">
        <v>5</v>
      </c>
      <c r="B49">
        <f t="shared" si="5"/>
        <v>16384</v>
      </c>
      <c r="C49">
        <v>14</v>
      </c>
      <c r="E49">
        <v>32</v>
      </c>
      <c r="J49" s="8">
        <v>2.7699999999999999E-2</v>
      </c>
    </row>
    <row r="50" spans="1:11" x14ac:dyDescent="0.35">
      <c r="A50">
        <v>6</v>
      </c>
      <c r="B50">
        <f t="shared" si="5"/>
        <v>32768</v>
      </c>
      <c r="C50">
        <v>15</v>
      </c>
      <c r="E50">
        <v>32</v>
      </c>
      <c r="J50" s="8">
        <v>2.6200000000000001E-2</v>
      </c>
    </row>
    <row r="51" spans="1:11" x14ac:dyDescent="0.35">
      <c r="A51">
        <v>7</v>
      </c>
      <c r="B51">
        <f t="shared" si="5"/>
        <v>65536</v>
      </c>
      <c r="C51">
        <v>16</v>
      </c>
      <c r="E51">
        <v>32</v>
      </c>
      <c r="J51" s="8">
        <v>2.5899999999999999E-2</v>
      </c>
    </row>
    <row r="52" spans="1:11" x14ac:dyDescent="0.35">
      <c r="A52">
        <v>8</v>
      </c>
      <c r="B52">
        <f t="shared" si="5"/>
        <v>131072</v>
      </c>
      <c r="C52">
        <v>17</v>
      </c>
      <c r="E52">
        <v>32</v>
      </c>
      <c r="J52" s="8">
        <v>2.58E-2</v>
      </c>
    </row>
    <row r="53" spans="1:11" x14ac:dyDescent="0.35">
      <c r="A53">
        <v>9</v>
      </c>
      <c r="B53">
        <f t="shared" si="5"/>
        <v>262144</v>
      </c>
      <c r="C53">
        <v>18</v>
      </c>
      <c r="E53">
        <v>32</v>
      </c>
      <c r="J53" s="8">
        <v>2.58E-2</v>
      </c>
    </row>
    <row r="54" spans="1:11" x14ac:dyDescent="0.35">
      <c r="A54">
        <v>10</v>
      </c>
      <c r="B54">
        <f t="shared" si="5"/>
        <v>524288</v>
      </c>
      <c r="C54">
        <v>19</v>
      </c>
      <c r="E54">
        <v>32</v>
      </c>
      <c r="J54" s="8">
        <v>2.58E-2</v>
      </c>
    </row>
    <row r="55" spans="1:11" x14ac:dyDescent="0.35">
      <c r="A55">
        <v>11</v>
      </c>
      <c r="B55">
        <f>2^C55</f>
        <v>1048576</v>
      </c>
      <c r="C55">
        <v>20</v>
      </c>
      <c r="E55">
        <v>32</v>
      </c>
      <c r="J55" s="8">
        <v>2.58E-2</v>
      </c>
    </row>
    <row r="58" spans="1:11" x14ac:dyDescent="0.35">
      <c r="A58" s="2" t="s">
        <v>0</v>
      </c>
      <c r="B58" s="2" t="s">
        <v>2</v>
      </c>
      <c r="C58" s="2" t="s">
        <v>1</v>
      </c>
      <c r="D58" s="2"/>
      <c r="E58" s="2" t="s">
        <v>3</v>
      </c>
      <c r="F58" s="4" t="s">
        <v>4</v>
      </c>
      <c r="G58" s="4"/>
      <c r="H58" s="4"/>
      <c r="I58" s="4"/>
      <c r="J58" s="4"/>
    </row>
    <row r="59" spans="1:11" ht="58" x14ac:dyDescent="0.35">
      <c r="A59" s="3"/>
      <c r="B59" s="3"/>
      <c r="C59" s="3"/>
      <c r="D59" s="3"/>
      <c r="E59" s="3"/>
      <c r="F59" s="3" t="s">
        <v>5</v>
      </c>
      <c r="G59" s="3" t="s">
        <v>6</v>
      </c>
      <c r="H59" s="3" t="s">
        <v>7</v>
      </c>
      <c r="I59" s="3" t="s">
        <v>8</v>
      </c>
      <c r="J59" s="3" t="s">
        <v>18</v>
      </c>
      <c r="K59" s="3" t="s">
        <v>13</v>
      </c>
    </row>
    <row r="60" spans="1:11" x14ac:dyDescent="0.35">
      <c r="A60">
        <v>1</v>
      </c>
      <c r="B60">
        <f>2^C60</f>
        <v>1024</v>
      </c>
      <c r="C60">
        <v>10</v>
      </c>
      <c r="E60">
        <v>32</v>
      </c>
      <c r="J60" s="8">
        <v>0.13700000000000001</v>
      </c>
      <c r="K60">
        <f>B60/(32)</f>
        <v>32</v>
      </c>
    </row>
    <row r="61" spans="1:11" x14ac:dyDescent="0.35">
      <c r="A61">
        <v>2</v>
      </c>
      <c r="B61">
        <f t="shared" ref="B61:B69" si="6">2^C61</f>
        <v>2048</v>
      </c>
      <c r="C61">
        <v>11</v>
      </c>
      <c r="E61">
        <v>32</v>
      </c>
      <c r="J61" s="8">
        <v>8.8599999999999998E-2</v>
      </c>
      <c r="K61">
        <f t="shared" ref="K61:K70" si="7">B61/(32)</f>
        <v>64</v>
      </c>
    </row>
    <row r="62" spans="1:11" x14ac:dyDescent="0.35">
      <c r="A62">
        <v>3</v>
      </c>
      <c r="B62">
        <f t="shared" si="6"/>
        <v>4096</v>
      </c>
      <c r="C62">
        <v>12</v>
      </c>
      <c r="E62">
        <v>32</v>
      </c>
      <c r="J62" s="8">
        <v>4.9500000000000002E-2</v>
      </c>
      <c r="K62">
        <f t="shared" si="7"/>
        <v>128</v>
      </c>
    </row>
    <row r="63" spans="1:11" x14ac:dyDescent="0.35">
      <c r="A63">
        <v>4</v>
      </c>
      <c r="B63">
        <f t="shared" si="6"/>
        <v>8192</v>
      </c>
      <c r="C63">
        <v>13</v>
      </c>
      <c r="E63">
        <v>32</v>
      </c>
      <c r="J63" s="8">
        <v>3.9100000000000003E-2</v>
      </c>
      <c r="K63">
        <f t="shared" si="7"/>
        <v>256</v>
      </c>
    </row>
    <row r="64" spans="1:11" x14ac:dyDescent="0.35">
      <c r="A64">
        <v>5</v>
      </c>
      <c r="B64">
        <f t="shared" si="6"/>
        <v>16384</v>
      </c>
      <c r="C64">
        <v>14</v>
      </c>
      <c r="E64">
        <v>32</v>
      </c>
      <c r="J64" s="8">
        <v>2.63E-2</v>
      </c>
      <c r="K64">
        <f t="shared" si="7"/>
        <v>512</v>
      </c>
    </row>
    <row r="65" spans="1:11" x14ac:dyDescent="0.35">
      <c r="A65">
        <v>6</v>
      </c>
      <c r="B65">
        <f t="shared" si="6"/>
        <v>32768</v>
      </c>
      <c r="C65">
        <v>15</v>
      </c>
      <c r="E65">
        <v>32</v>
      </c>
      <c r="J65" s="8">
        <v>2.6200000000000001E-2</v>
      </c>
      <c r="K65">
        <f t="shared" si="7"/>
        <v>1024</v>
      </c>
    </row>
    <row r="66" spans="1:11" x14ac:dyDescent="0.35">
      <c r="A66">
        <v>7</v>
      </c>
      <c r="B66">
        <f t="shared" si="6"/>
        <v>65536</v>
      </c>
      <c r="C66">
        <v>16</v>
      </c>
      <c r="E66">
        <v>32</v>
      </c>
      <c r="J66" s="8">
        <v>2.58E-2</v>
      </c>
      <c r="K66">
        <f t="shared" si="7"/>
        <v>2048</v>
      </c>
    </row>
    <row r="67" spans="1:11" x14ac:dyDescent="0.35">
      <c r="A67">
        <v>8</v>
      </c>
      <c r="B67">
        <f t="shared" si="6"/>
        <v>131072</v>
      </c>
      <c r="C67">
        <v>17</v>
      </c>
      <c r="E67">
        <v>32</v>
      </c>
      <c r="J67" s="8">
        <v>2.58E-2</v>
      </c>
      <c r="K67">
        <f t="shared" si="7"/>
        <v>4096</v>
      </c>
    </row>
    <row r="68" spans="1:11" x14ac:dyDescent="0.35">
      <c r="A68">
        <v>9</v>
      </c>
      <c r="B68">
        <f t="shared" si="6"/>
        <v>262144</v>
      </c>
      <c r="C68">
        <v>18</v>
      </c>
      <c r="E68">
        <v>32</v>
      </c>
      <c r="J68" s="8">
        <v>2.58E-2</v>
      </c>
      <c r="K68">
        <f t="shared" si="7"/>
        <v>8192</v>
      </c>
    </row>
    <row r="69" spans="1:11" x14ac:dyDescent="0.35">
      <c r="A69">
        <v>10</v>
      </c>
      <c r="B69">
        <f t="shared" si="6"/>
        <v>524288</v>
      </c>
      <c r="C69">
        <v>19</v>
      </c>
      <c r="E69">
        <v>32</v>
      </c>
      <c r="J69" s="8">
        <v>2.58E-2</v>
      </c>
      <c r="K69">
        <f t="shared" si="7"/>
        <v>16384</v>
      </c>
    </row>
    <row r="70" spans="1:11" x14ac:dyDescent="0.35">
      <c r="A70">
        <v>11</v>
      </c>
      <c r="B70">
        <f>2^C70</f>
        <v>1048576</v>
      </c>
      <c r="C70">
        <v>20</v>
      </c>
      <c r="E70">
        <v>32</v>
      </c>
      <c r="J70" s="8">
        <v>2.58E-2</v>
      </c>
      <c r="K70">
        <f t="shared" si="7"/>
        <v>32768</v>
      </c>
    </row>
    <row r="73" spans="1:11" ht="58" x14ac:dyDescent="0.35">
      <c r="A73" s="2" t="s">
        <v>0</v>
      </c>
      <c r="B73" s="2" t="s">
        <v>2</v>
      </c>
      <c r="C73" s="2" t="s">
        <v>1</v>
      </c>
      <c r="D73" s="2"/>
      <c r="E73" s="2" t="s">
        <v>3</v>
      </c>
      <c r="F73" s="3" t="s">
        <v>15</v>
      </c>
      <c r="G73" s="7"/>
      <c r="H73" s="7"/>
      <c r="I73" s="7"/>
      <c r="J73" s="7"/>
    </row>
    <row r="74" spans="1:11" ht="58" x14ac:dyDescent="0.35">
      <c r="A74" s="3"/>
      <c r="B74" s="3"/>
      <c r="C74" s="3"/>
      <c r="D74" s="3"/>
      <c r="E74" s="3"/>
      <c r="F74" s="2" t="s">
        <v>20</v>
      </c>
      <c r="G74" s="3" t="s">
        <v>19</v>
      </c>
      <c r="H74" s="3" t="s">
        <v>21</v>
      </c>
      <c r="I74" s="3" t="s">
        <v>23</v>
      </c>
      <c r="J74" s="3"/>
    </row>
    <row r="75" spans="1:11" x14ac:dyDescent="0.35">
      <c r="A75">
        <v>1</v>
      </c>
      <c r="B75">
        <f>2^C75</f>
        <v>1024</v>
      </c>
      <c r="C75">
        <v>10</v>
      </c>
      <c r="E75">
        <v>32</v>
      </c>
      <c r="F75">
        <v>0.19345999999999999</v>
      </c>
      <c r="G75">
        <v>0.114797</v>
      </c>
      <c r="H75">
        <v>20.100000000000001</v>
      </c>
      <c r="I75">
        <f>G75+(F75*H75)</f>
        <v>4.0033430000000001</v>
      </c>
      <c r="J75" s="8"/>
    </row>
    <row r="76" spans="1:11" x14ac:dyDescent="0.35">
      <c r="A76">
        <v>2</v>
      </c>
      <c r="B76">
        <f t="shared" ref="B76:B85" si="8">2^C76</f>
        <v>2048</v>
      </c>
      <c r="C76">
        <v>11</v>
      </c>
      <c r="E76">
        <v>32</v>
      </c>
      <c r="F76">
        <v>0.14774000000000001</v>
      </c>
      <c r="G76">
        <v>0.12909000000000001</v>
      </c>
      <c r="H76">
        <v>20.100000000000001</v>
      </c>
      <c r="I76">
        <f t="shared" ref="I76:I85" si="9">G76+(F76*H76)</f>
        <v>3.0986640000000008</v>
      </c>
      <c r="J76" s="8"/>
    </row>
    <row r="77" spans="1:11" x14ac:dyDescent="0.35">
      <c r="A77">
        <v>3</v>
      </c>
      <c r="B77">
        <f t="shared" si="8"/>
        <v>4096</v>
      </c>
      <c r="C77">
        <v>12</v>
      </c>
      <c r="E77">
        <v>32</v>
      </c>
      <c r="F77">
        <v>0.10017</v>
      </c>
      <c r="G77">
        <v>0.147005</v>
      </c>
      <c r="H77">
        <v>20.100000000000001</v>
      </c>
      <c r="I77">
        <f t="shared" si="9"/>
        <v>2.1604220000000001</v>
      </c>
      <c r="J77" s="8"/>
    </row>
    <row r="78" spans="1:11" x14ac:dyDescent="0.35">
      <c r="A78">
        <v>4</v>
      </c>
      <c r="B78">
        <f t="shared" si="8"/>
        <v>8192</v>
      </c>
      <c r="C78">
        <v>13</v>
      </c>
      <c r="E78">
        <v>32</v>
      </c>
      <c r="F78">
        <v>6.7000000000000004E-2</v>
      </c>
      <c r="G78">
        <v>0.16383</v>
      </c>
      <c r="H78">
        <v>20.100000000000001</v>
      </c>
      <c r="I78">
        <f t="shared" si="9"/>
        <v>1.5105300000000002</v>
      </c>
      <c r="J78" s="8"/>
    </row>
    <row r="79" spans="1:11" x14ac:dyDescent="0.35">
      <c r="A79">
        <v>5</v>
      </c>
      <c r="B79">
        <f t="shared" si="8"/>
        <v>16384</v>
      </c>
      <c r="C79">
        <v>14</v>
      </c>
      <c r="E79">
        <v>32</v>
      </c>
      <c r="F79">
        <v>4.6089999999999999E-2</v>
      </c>
      <c r="G79">
        <v>0.19841699999999998</v>
      </c>
      <c r="H79">
        <v>20.100000000000001</v>
      </c>
      <c r="I79">
        <f t="shared" si="9"/>
        <v>1.1248260000000001</v>
      </c>
      <c r="J79" s="8"/>
    </row>
    <row r="80" spans="1:11" x14ac:dyDescent="0.35">
      <c r="A80">
        <v>6</v>
      </c>
      <c r="B80">
        <f t="shared" si="8"/>
        <v>32768</v>
      </c>
      <c r="C80">
        <v>15</v>
      </c>
      <c r="E80">
        <v>32</v>
      </c>
      <c r="F80">
        <v>3.7679999999999998E-2</v>
      </c>
      <c r="G80">
        <v>0.23335299999999998</v>
      </c>
      <c r="H80">
        <v>20.100000000000001</v>
      </c>
      <c r="I80">
        <f t="shared" si="9"/>
        <v>0.99072099999999996</v>
      </c>
      <c r="J80" s="8"/>
    </row>
    <row r="81" spans="1:10" x14ac:dyDescent="0.35">
      <c r="A81">
        <v>7</v>
      </c>
      <c r="B81">
        <f t="shared" si="8"/>
        <v>65536</v>
      </c>
      <c r="C81">
        <v>16</v>
      </c>
      <c r="E81">
        <v>32</v>
      </c>
      <c r="F81">
        <v>3.2919999999999998E-2</v>
      </c>
      <c r="G81">
        <v>0.29462699999999997</v>
      </c>
      <c r="H81">
        <v>20.100000000000001</v>
      </c>
      <c r="I81">
        <f t="shared" si="9"/>
        <v>0.95631900000000003</v>
      </c>
      <c r="J81" s="8"/>
    </row>
    <row r="82" spans="1:10" x14ac:dyDescent="0.35">
      <c r="A82">
        <v>8</v>
      </c>
      <c r="B82">
        <f t="shared" si="8"/>
        <v>131072</v>
      </c>
      <c r="C82">
        <v>17</v>
      </c>
      <c r="E82">
        <v>32</v>
      </c>
      <c r="F82">
        <v>3.2329999999999998E-2</v>
      </c>
      <c r="G82">
        <v>0.36680000000000001</v>
      </c>
      <c r="H82">
        <v>20.100000000000001</v>
      </c>
      <c r="I82">
        <f t="shared" si="9"/>
        <v>1.0166330000000001</v>
      </c>
      <c r="J82" s="8"/>
    </row>
    <row r="83" spans="1:10" x14ac:dyDescent="0.35">
      <c r="A83">
        <v>9</v>
      </c>
      <c r="B83">
        <f t="shared" si="8"/>
        <v>262144</v>
      </c>
      <c r="C83">
        <v>18</v>
      </c>
      <c r="E83">
        <v>32</v>
      </c>
      <c r="F83">
        <v>2.5839999999999998E-2</v>
      </c>
      <c r="G83">
        <v>0.44381199999999998</v>
      </c>
      <c r="H83">
        <v>20.100000000000001</v>
      </c>
      <c r="I83">
        <f t="shared" si="9"/>
        <v>0.96319599999999994</v>
      </c>
      <c r="J83" s="8"/>
    </row>
    <row r="84" spans="1:10" x14ac:dyDescent="0.35">
      <c r="A84">
        <v>10</v>
      </c>
      <c r="B84">
        <f t="shared" si="8"/>
        <v>524288</v>
      </c>
      <c r="C84">
        <v>19</v>
      </c>
      <c r="E84">
        <v>32</v>
      </c>
      <c r="F84">
        <v>2.5839999999999998E-2</v>
      </c>
      <c r="G84">
        <v>0.56345099999999992</v>
      </c>
      <c r="H84">
        <v>20.100000000000001</v>
      </c>
      <c r="I84">
        <f t="shared" si="9"/>
        <v>1.0828349999999998</v>
      </c>
      <c r="J84" s="8"/>
    </row>
    <row r="85" spans="1:10" x14ac:dyDescent="0.35">
      <c r="A85">
        <v>11</v>
      </c>
      <c r="B85">
        <f t="shared" si="8"/>
        <v>1048576</v>
      </c>
      <c r="C85">
        <v>20</v>
      </c>
      <c r="E85">
        <v>32</v>
      </c>
      <c r="F85">
        <v>2.5839999999999998E-2</v>
      </c>
      <c r="G85">
        <v>0.69938000000000011</v>
      </c>
      <c r="H85">
        <v>20.100000000000001</v>
      </c>
      <c r="I85">
        <f t="shared" si="9"/>
        <v>1.2187640000000002</v>
      </c>
      <c r="J85" s="8"/>
    </row>
    <row r="88" spans="1:10" x14ac:dyDescent="0.35">
      <c r="A88" s="2" t="s">
        <v>0</v>
      </c>
      <c r="B88" s="2" t="s">
        <v>2</v>
      </c>
      <c r="C88" s="2" t="s">
        <v>1</v>
      </c>
      <c r="D88" s="2"/>
      <c r="E88" s="2" t="s">
        <v>3</v>
      </c>
      <c r="F88" s="4" t="s">
        <v>10</v>
      </c>
      <c r="G88" s="4"/>
      <c r="H88" s="4"/>
      <c r="I88" s="4"/>
      <c r="J88" s="4"/>
    </row>
    <row r="89" spans="1:10" ht="58" x14ac:dyDescent="0.35">
      <c r="A89" s="3"/>
      <c r="B89" s="3"/>
      <c r="C89" s="3"/>
      <c r="D89" s="3"/>
      <c r="E89" s="3"/>
      <c r="F89" s="3" t="s">
        <v>14</v>
      </c>
      <c r="G89" s="3" t="s">
        <v>19</v>
      </c>
      <c r="H89" s="3" t="s">
        <v>21</v>
      </c>
      <c r="I89" s="3" t="s">
        <v>22</v>
      </c>
      <c r="J89" s="3"/>
    </row>
    <row r="90" spans="1:10" x14ac:dyDescent="0.35">
      <c r="A90">
        <v>1</v>
      </c>
      <c r="B90">
        <f>2^C90</f>
        <v>1024</v>
      </c>
      <c r="C90">
        <v>10</v>
      </c>
      <c r="E90">
        <v>32</v>
      </c>
      <c r="F90">
        <v>0.15603</v>
      </c>
      <c r="G90">
        <v>0.114797</v>
      </c>
      <c r="H90">
        <v>20.100000000000001</v>
      </c>
      <c r="I90">
        <f>G90+(F90*H90)</f>
        <v>3.2509999999999999</v>
      </c>
      <c r="J90" s="8"/>
    </row>
    <row r="91" spans="1:10" x14ac:dyDescent="0.35">
      <c r="A91">
        <v>2</v>
      </c>
      <c r="B91">
        <f t="shared" ref="B91:B100" si="10">2^C91</f>
        <v>2048</v>
      </c>
      <c r="C91">
        <v>11</v>
      </c>
      <c r="E91">
        <v>32</v>
      </c>
      <c r="F91">
        <v>0.10714</v>
      </c>
      <c r="G91">
        <v>0.12909000000000001</v>
      </c>
      <c r="H91">
        <v>20.100000000000001</v>
      </c>
      <c r="I91">
        <f t="shared" ref="I91:I100" si="11">G91+(F91*H91)</f>
        <v>2.2826040000000001</v>
      </c>
      <c r="J91" s="8"/>
    </row>
    <row r="92" spans="1:10" x14ac:dyDescent="0.35">
      <c r="A92">
        <v>3</v>
      </c>
      <c r="B92">
        <f t="shared" si="10"/>
        <v>4096</v>
      </c>
      <c r="C92">
        <v>12</v>
      </c>
      <c r="E92">
        <v>32</v>
      </c>
      <c r="F92">
        <v>7.5300000000000006E-2</v>
      </c>
      <c r="G92">
        <v>0.147005</v>
      </c>
      <c r="H92">
        <v>20.100000000000001</v>
      </c>
      <c r="I92">
        <f t="shared" si="11"/>
        <v>1.6605350000000003</v>
      </c>
      <c r="J92" s="8"/>
    </row>
    <row r="93" spans="1:10" x14ac:dyDescent="0.35">
      <c r="A93">
        <v>4</v>
      </c>
      <c r="B93">
        <f t="shared" si="10"/>
        <v>8192</v>
      </c>
      <c r="C93">
        <v>13</v>
      </c>
      <c r="E93">
        <v>32</v>
      </c>
      <c r="F93">
        <v>4.7300000000000002E-2</v>
      </c>
      <c r="G93">
        <v>0.16383</v>
      </c>
      <c r="H93">
        <v>20.100000000000001</v>
      </c>
      <c r="I93">
        <f t="shared" si="11"/>
        <v>1.11456</v>
      </c>
      <c r="J93" s="8"/>
    </row>
    <row r="94" spans="1:10" x14ac:dyDescent="0.35">
      <c r="A94">
        <v>5</v>
      </c>
      <c r="B94">
        <f t="shared" si="10"/>
        <v>16384</v>
      </c>
      <c r="C94">
        <v>14</v>
      </c>
      <c r="E94">
        <v>32</v>
      </c>
      <c r="F94">
        <v>3.3799999999999997E-2</v>
      </c>
      <c r="G94">
        <v>0.19841699999999998</v>
      </c>
      <c r="H94">
        <v>20.100000000000001</v>
      </c>
      <c r="I94">
        <f t="shared" si="11"/>
        <v>0.87779699999999994</v>
      </c>
      <c r="J94" s="8"/>
    </row>
    <row r="95" spans="1:10" x14ac:dyDescent="0.35">
      <c r="A95">
        <v>6</v>
      </c>
      <c r="B95">
        <f t="shared" si="10"/>
        <v>32768</v>
      </c>
      <c r="C95">
        <v>15</v>
      </c>
      <c r="E95">
        <v>32</v>
      </c>
      <c r="F95">
        <v>2.8799999999999999E-2</v>
      </c>
      <c r="G95">
        <v>0.23335299999999998</v>
      </c>
      <c r="H95">
        <v>20.100000000000001</v>
      </c>
      <c r="I95">
        <f t="shared" si="11"/>
        <v>0.81223299999999998</v>
      </c>
      <c r="J95" s="8"/>
    </row>
    <row r="96" spans="1:10" x14ac:dyDescent="0.35">
      <c r="A96">
        <v>7</v>
      </c>
      <c r="B96">
        <f t="shared" si="10"/>
        <v>65536</v>
      </c>
      <c r="C96">
        <v>16</v>
      </c>
      <c r="E96">
        <v>32</v>
      </c>
      <c r="F96">
        <v>2.7099999999999999E-2</v>
      </c>
      <c r="G96">
        <v>0.29462699999999997</v>
      </c>
      <c r="H96">
        <v>20.100000000000001</v>
      </c>
      <c r="I96">
        <f t="shared" si="11"/>
        <v>0.839337</v>
      </c>
      <c r="J96" s="8"/>
    </row>
    <row r="97" spans="1:10" x14ac:dyDescent="0.35">
      <c r="A97">
        <v>8</v>
      </c>
      <c r="B97">
        <f t="shared" si="10"/>
        <v>131072</v>
      </c>
      <c r="C97">
        <v>17</v>
      </c>
      <c r="E97">
        <v>32</v>
      </c>
      <c r="F97">
        <v>2.5899999999999999E-2</v>
      </c>
      <c r="G97">
        <v>0.36680000000000001</v>
      </c>
      <c r="H97">
        <v>20.100000000000001</v>
      </c>
      <c r="I97">
        <f t="shared" si="11"/>
        <v>0.88739000000000001</v>
      </c>
      <c r="J97" s="8"/>
    </row>
    <row r="98" spans="1:10" x14ac:dyDescent="0.35">
      <c r="A98">
        <v>9</v>
      </c>
      <c r="B98">
        <f t="shared" si="10"/>
        <v>262144</v>
      </c>
      <c r="C98">
        <v>18</v>
      </c>
      <c r="E98">
        <v>32</v>
      </c>
      <c r="F98">
        <v>2.58E-2</v>
      </c>
      <c r="G98">
        <v>0.44381199999999998</v>
      </c>
      <c r="H98">
        <v>20.100000000000001</v>
      </c>
      <c r="I98">
        <f t="shared" si="11"/>
        <v>0.96239200000000003</v>
      </c>
      <c r="J98" s="8"/>
    </row>
    <row r="99" spans="1:10" x14ac:dyDescent="0.35">
      <c r="A99">
        <v>10</v>
      </c>
      <c r="B99">
        <f t="shared" si="10"/>
        <v>524288</v>
      </c>
      <c r="C99">
        <v>19</v>
      </c>
      <c r="E99">
        <v>32</v>
      </c>
      <c r="F99">
        <v>2.58E-2</v>
      </c>
      <c r="G99">
        <v>0.56345099999999992</v>
      </c>
      <c r="H99">
        <v>20.100000000000001</v>
      </c>
      <c r="I99">
        <f t="shared" si="11"/>
        <v>1.082031</v>
      </c>
      <c r="J99" s="8"/>
    </row>
    <row r="100" spans="1:10" x14ac:dyDescent="0.35">
      <c r="A100">
        <v>11</v>
      </c>
      <c r="B100">
        <f t="shared" si="10"/>
        <v>1048576</v>
      </c>
      <c r="C100">
        <v>20</v>
      </c>
      <c r="E100">
        <v>32</v>
      </c>
      <c r="F100">
        <v>2.58E-2</v>
      </c>
      <c r="G100">
        <v>0.69938000000000011</v>
      </c>
      <c r="H100">
        <v>20.100000000000001</v>
      </c>
      <c r="I100">
        <f t="shared" si="11"/>
        <v>1.2179600000000002</v>
      </c>
      <c r="J100" s="8"/>
    </row>
    <row r="103" spans="1:10" x14ac:dyDescent="0.35">
      <c r="A103" s="2" t="s">
        <v>0</v>
      </c>
      <c r="B103" s="2" t="s">
        <v>2</v>
      </c>
      <c r="C103" s="2" t="s">
        <v>1</v>
      </c>
      <c r="D103" s="2"/>
      <c r="E103" s="2" t="s">
        <v>3</v>
      </c>
      <c r="F103" s="4" t="s">
        <v>11</v>
      </c>
      <c r="G103" s="4"/>
      <c r="H103" s="4"/>
      <c r="I103" s="4"/>
      <c r="J103" s="4"/>
    </row>
    <row r="104" spans="1:10" ht="58" x14ac:dyDescent="0.35">
      <c r="A104" s="3"/>
      <c r="B104" s="3"/>
      <c r="C104" s="3"/>
      <c r="D104" s="3"/>
      <c r="E104" s="3"/>
      <c r="F104" s="3" t="s">
        <v>16</v>
      </c>
      <c r="G104" s="3" t="s">
        <v>19</v>
      </c>
      <c r="H104" s="3" t="s">
        <v>21</v>
      </c>
      <c r="I104" s="3" t="s">
        <v>24</v>
      </c>
      <c r="J104" s="3"/>
    </row>
    <row r="105" spans="1:10" x14ac:dyDescent="0.35">
      <c r="A105">
        <v>1</v>
      </c>
      <c r="B105">
        <f>2^C105</f>
        <v>1024</v>
      </c>
      <c r="C105">
        <v>10</v>
      </c>
      <c r="E105">
        <v>32</v>
      </c>
      <c r="F105" s="8">
        <v>0.14269999999999999</v>
      </c>
      <c r="G105">
        <v>0.114797</v>
      </c>
      <c r="H105">
        <v>20.100000000000001</v>
      </c>
      <c r="I105">
        <f t="shared" ref="I105:I115" si="12">G105+(F105*H105)</f>
        <v>2.9830669999999997</v>
      </c>
      <c r="J105" s="8"/>
    </row>
    <row r="106" spans="1:10" x14ac:dyDescent="0.35">
      <c r="A106">
        <v>2</v>
      </c>
      <c r="B106">
        <f t="shared" ref="B106:B114" si="13">2^C106</f>
        <v>2048</v>
      </c>
      <c r="C106">
        <v>11</v>
      </c>
      <c r="E106">
        <v>32</v>
      </c>
      <c r="F106" s="8">
        <v>9.6199999999999994E-2</v>
      </c>
      <c r="G106">
        <v>0.12909000000000001</v>
      </c>
      <c r="H106">
        <v>20.100000000000001</v>
      </c>
      <c r="I106">
        <f t="shared" si="12"/>
        <v>2.06271</v>
      </c>
      <c r="J106" s="8"/>
    </row>
    <row r="107" spans="1:10" x14ac:dyDescent="0.35">
      <c r="A107">
        <v>3</v>
      </c>
      <c r="B107">
        <f t="shared" si="13"/>
        <v>4096</v>
      </c>
      <c r="C107">
        <v>12</v>
      </c>
      <c r="E107">
        <v>32</v>
      </c>
      <c r="F107" s="8">
        <v>5.9900000000000002E-2</v>
      </c>
      <c r="G107">
        <v>0.147005</v>
      </c>
      <c r="H107">
        <v>20.100000000000001</v>
      </c>
      <c r="I107">
        <f t="shared" si="12"/>
        <v>1.3509950000000002</v>
      </c>
      <c r="J107" s="8"/>
    </row>
    <row r="108" spans="1:10" x14ac:dyDescent="0.35">
      <c r="A108">
        <v>4</v>
      </c>
      <c r="B108">
        <f t="shared" si="13"/>
        <v>8192</v>
      </c>
      <c r="C108">
        <v>13</v>
      </c>
      <c r="E108">
        <v>32</v>
      </c>
      <c r="F108" s="8">
        <v>4.2500000000000003E-2</v>
      </c>
      <c r="G108">
        <v>0.16383</v>
      </c>
      <c r="H108">
        <v>20.100000000000001</v>
      </c>
      <c r="I108">
        <f t="shared" si="12"/>
        <v>1.0180800000000001</v>
      </c>
      <c r="J108" s="8"/>
    </row>
    <row r="109" spans="1:10" x14ac:dyDescent="0.35">
      <c r="A109">
        <v>5</v>
      </c>
      <c r="B109">
        <f t="shared" si="13"/>
        <v>16384</v>
      </c>
      <c r="C109">
        <v>14</v>
      </c>
      <c r="E109">
        <v>32</v>
      </c>
      <c r="F109" s="8">
        <v>2.8299999999999999E-2</v>
      </c>
      <c r="G109">
        <v>0.19841699999999998</v>
      </c>
      <c r="H109">
        <v>20.100000000000001</v>
      </c>
      <c r="I109">
        <f t="shared" si="12"/>
        <v>0.76724700000000001</v>
      </c>
      <c r="J109" s="8"/>
    </row>
    <row r="110" spans="1:10" x14ac:dyDescent="0.35">
      <c r="A110">
        <v>6</v>
      </c>
      <c r="B110">
        <f t="shared" si="13"/>
        <v>32768</v>
      </c>
      <c r="C110">
        <v>15</v>
      </c>
      <c r="E110">
        <v>32</v>
      </c>
      <c r="F110" s="8">
        <v>2.64E-2</v>
      </c>
      <c r="G110">
        <v>0.23335299999999998</v>
      </c>
      <c r="H110">
        <v>20.100000000000001</v>
      </c>
      <c r="I110">
        <f t="shared" si="12"/>
        <v>0.76399299999999992</v>
      </c>
      <c r="J110" s="8"/>
    </row>
    <row r="111" spans="1:10" x14ac:dyDescent="0.35">
      <c r="A111">
        <v>7</v>
      </c>
      <c r="B111">
        <f t="shared" si="13"/>
        <v>65536</v>
      </c>
      <c r="C111">
        <v>16</v>
      </c>
      <c r="E111">
        <v>32</v>
      </c>
      <c r="F111" s="8">
        <v>2.5999999999999999E-2</v>
      </c>
      <c r="G111">
        <v>0.29462699999999997</v>
      </c>
      <c r="H111">
        <v>20.100000000000001</v>
      </c>
      <c r="I111">
        <f t="shared" si="12"/>
        <v>0.81722700000000004</v>
      </c>
      <c r="J111" s="8"/>
    </row>
    <row r="112" spans="1:10" x14ac:dyDescent="0.35">
      <c r="A112">
        <v>8</v>
      </c>
      <c r="B112">
        <f t="shared" si="13"/>
        <v>131072</v>
      </c>
      <c r="C112">
        <v>17</v>
      </c>
      <c r="E112">
        <v>32</v>
      </c>
      <c r="F112" s="8">
        <v>2.58E-2</v>
      </c>
      <c r="G112">
        <v>0.36680000000000001</v>
      </c>
      <c r="H112">
        <v>20.100000000000001</v>
      </c>
      <c r="I112">
        <f t="shared" si="12"/>
        <v>0.88538000000000006</v>
      </c>
      <c r="J112" s="8"/>
    </row>
    <row r="113" spans="1:10" x14ac:dyDescent="0.35">
      <c r="A113">
        <v>9</v>
      </c>
      <c r="B113">
        <f t="shared" si="13"/>
        <v>262144</v>
      </c>
      <c r="C113">
        <v>18</v>
      </c>
      <c r="E113">
        <v>32</v>
      </c>
      <c r="F113" s="8">
        <v>2.58E-2</v>
      </c>
      <c r="G113">
        <v>0.44381199999999998</v>
      </c>
      <c r="H113">
        <v>20.100000000000001</v>
      </c>
      <c r="I113">
        <f t="shared" si="12"/>
        <v>0.96239200000000003</v>
      </c>
      <c r="J113" s="8"/>
    </row>
    <row r="114" spans="1:10" x14ac:dyDescent="0.35">
      <c r="A114">
        <v>10</v>
      </c>
      <c r="B114">
        <f t="shared" si="13"/>
        <v>524288</v>
      </c>
      <c r="C114">
        <v>19</v>
      </c>
      <c r="E114">
        <v>32</v>
      </c>
      <c r="F114" s="8">
        <v>2.58E-2</v>
      </c>
      <c r="G114">
        <v>0.56345099999999992</v>
      </c>
      <c r="H114">
        <v>20.100000000000001</v>
      </c>
      <c r="I114">
        <f t="shared" si="12"/>
        <v>1.082031</v>
      </c>
      <c r="J114" s="8"/>
    </row>
    <row r="115" spans="1:10" x14ac:dyDescent="0.35">
      <c r="A115">
        <v>11</v>
      </c>
      <c r="B115">
        <f>2^C115</f>
        <v>1048576</v>
      </c>
      <c r="C115">
        <v>20</v>
      </c>
      <c r="E115">
        <v>32</v>
      </c>
      <c r="F115" s="8">
        <v>2.58E-2</v>
      </c>
      <c r="G115">
        <v>0.69938000000000011</v>
      </c>
      <c r="H115">
        <v>20.100000000000001</v>
      </c>
      <c r="I115">
        <f t="shared" si="12"/>
        <v>1.2179600000000002</v>
      </c>
      <c r="J115" s="8"/>
    </row>
    <row r="117" spans="1:10" x14ac:dyDescent="0.35">
      <c r="A117" s="2" t="s">
        <v>0</v>
      </c>
      <c r="B117" s="2" t="s">
        <v>2</v>
      </c>
      <c r="C117" s="2" t="s">
        <v>1</v>
      </c>
      <c r="D117" s="2"/>
      <c r="E117" s="2" t="s">
        <v>3</v>
      </c>
      <c r="F117" s="4" t="s">
        <v>12</v>
      </c>
      <c r="G117" s="4"/>
      <c r="H117" s="4"/>
      <c r="I117" s="4"/>
      <c r="J117" s="4"/>
    </row>
    <row r="118" spans="1:10" ht="58" x14ac:dyDescent="0.35">
      <c r="A118" s="3"/>
      <c r="B118" s="3"/>
      <c r="C118" s="3"/>
      <c r="D118" s="3"/>
      <c r="E118" s="3"/>
      <c r="F118" s="3" t="s">
        <v>17</v>
      </c>
      <c r="G118" s="3" t="s">
        <v>19</v>
      </c>
      <c r="H118" s="3" t="s">
        <v>21</v>
      </c>
      <c r="I118" s="3" t="s">
        <v>25</v>
      </c>
    </row>
    <row r="119" spans="1:10" x14ac:dyDescent="0.35">
      <c r="A119">
        <v>1</v>
      </c>
      <c r="B119">
        <f>2^C119</f>
        <v>1024</v>
      </c>
      <c r="C119">
        <v>10</v>
      </c>
      <c r="E119">
        <v>32</v>
      </c>
      <c r="F119" s="8">
        <v>0.1363</v>
      </c>
      <c r="G119">
        <v>0.114797</v>
      </c>
      <c r="H119">
        <v>20.100000000000001</v>
      </c>
      <c r="I119">
        <f>G119+(F119*H119)</f>
        <v>2.8544270000000003</v>
      </c>
    </row>
    <row r="120" spans="1:10" x14ac:dyDescent="0.35">
      <c r="A120">
        <v>2</v>
      </c>
      <c r="B120">
        <f t="shared" ref="B120:B128" si="14">2^C120</f>
        <v>2048</v>
      </c>
      <c r="C120">
        <v>11</v>
      </c>
      <c r="E120">
        <v>32</v>
      </c>
      <c r="F120" s="8">
        <v>9.0700000000000003E-2</v>
      </c>
      <c r="G120">
        <v>0.12909000000000001</v>
      </c>
      <c r="H120">
        <v>20.100000000000001</v>
      </c>
      <c r="I120">
        <f t="shared" ref="I120:I129" si="15">G120+(F120*H120)</f>
        <v>1.9521600000000001</v>
      </c>
    </row>
    <row r="121" spans="1:10" x14ac:dyDescent="0.35">
      <c r="A121">
        <v>3</v>
      </c>
      <c r="B121">
        <f t="shared" si="14"/>
        <v>4096</v>
      </c>
      <c r="C121">
        <v>12</v>
      </c>
      <c r="E121">
        <v>32</v>
      </c>
      <c r="F121" s="8">
        <v>5.3699999999999998E-2</v>
      </c>
      <c r="G121">
        <v>0.147005</v>
      </c>
      <c r="H121">
        <v>20.100000000000001</v>
      </c>
      <c r="I121">
        <f t="shared" si="15"/>
        <v>1.226375</v>
      </c>
    </row>
    <row r="122" spans="1:10" x14ac:dyDescent="0.35">
      <c r="A122">
        <v>4</v>
      </c>
      <c r="B122">
        <f t="shared" si="14"/>
        <v>8192</v>
      </c>
      <c r="C122">
        <v>13</v>
      </c>
      <c r="E122">
        <v>32</v>
      </c>
      <c r="F122" s="8">
        <v>3.95E-2</v>
      </c>
      <c r="G122">
        <v>0.16383</v>
      </c>
      <c r="H122">
        <v>20.100000000000001</v>
      </c>
      <c r="I122">
        <f t="shared" si="15"/>
        <v>0.95778000000000008</v>
      </c>
    </row>
    <row r="123" spans="1:10" x14ac:dyDescent="0.35">
      <c r="A123">
        <v>5</v>
      </c>
      <c r="B123">
        <f t="shared" si="14"/>
        <v>16384</v>
      </c>
      <c r="C123">
        <v>14</v>
      </c>
      <c r="E123">
        <v>32</v>
      </c>
      <c r="F123" s="8">
        <v>2.7699999999999999E-2</v>
      </c>
      <c r="G123">
        <v>0.19841699999999998</v>
      </c>
      <c r="H123">
        <v>20.100000000000001</v>
      </c>
      <c r="I123">
        <f t="shared" si="15"/>
        <v>0.75518699999999994</v>
      </c>
    </row>
    <row r="124" spans="1:10" x14ac:dyDescent="0.35">
      <c r="A124">
        <v>6</v>
      </c>
      <c r="B124">
        <f t="shared" si="14"/>
        <v>32768</v>
      </c>
      <c r="C124">
        <v>15</v>
      </c>
      <c r="E124">
        <v>32</v>
      </c>
      <c r="F124" s="8">
        <v>2.6200000000000001E-2</v>
      </c>
      <c r="G124">
        <v>0.23335299999999998</v>
      </c>
      <c r="H124">
        <v>20.100000000000001</v>
      </c>
      <c r="I124">
        <f t="shared" si="15"/>
        <v>0.75997300000000001</v>
      </c>
    </row>
    <row r="125" spans="1:10" x14ac:dyDescent="0.35">
      <c r="A125">
        <v>7</v>
      </c>
      <c r="B125">
        <f t="shared" si="14"/>
        <v>65536</v>
      </c>
      <c r="C125">
        <v>16</v>
      </c>
      <c r="E125">
        <v>32</v>
      </c>
      <c r="F125" s="8">
        <v>2.5899999999999999E-2</v>
      </c>
      <c r="G125">
        <v>0.29462699999999997</v>
      </c>
      <c r="H125">
        <v>20.100000000000001</v>
      </c>
      <c r="I125">
        <f t="shared" si="15"/>
        <v>0.81521699999999997</v>
      </c>
    </row>
    <row r="126" spans="1:10" x14ac:dyDescent="0.35">
      <c r="A126">
        <v>8</v>
      </c>
      <c r="B126">
        <f t="shared" si="14"/>
        <v>131072</v>
      </c>
      <c r="C126">
        <v>17</v>
      </c>
      <c r="E126">
        <v>32</v>
      </c>
      <c r="F126" s="8">
        <v>2.58E-2</v>
      </c>
      <c r="G126">
        <v>0.36680000000000001</v>
      </c>
      <c r="H126">
        <v>20.100000000000001</v>
      </c>
      <c r="I126">
        <f t="shared" si="15"/>
        <v>0.88538000000000006</v>
      </c>
    </row>
    <row r="127" spans="1:10" x14ac:dyDescent="0.35">
      <c r="A127">
        <v>9</v>
      </c>
      <c r="B127">
        <f t="shared" si="14"/>
        <v>262144</v>
      </c>
      <c r="C127">
        <v>18</v>
      </c>
      <c r="E127">
        <v>32</v>
      </c>
      <c r="F127" s="8">
        <v>2.58E-2</v>
      </c>
      <c r="G127">
        <v>0.44381199999999998</v>
      </c>
      <c r="H127">
        <v>20.100000000000001</v>
      </c>
      <c r="I127">
        <f t="shared" si="15"/>
        <v>0.96239200000000003</v>
      </c>
    </row>
    <row r="128" spans="1:10" x14ac:dyDescent="0.35">
      <c r="A128">
        <v>10</v>
      </c>
      <c r="B128">
        <f t="shared" si="14"/>
        <v>524288</v>
      </c>
      <c r="C128">
        <v>19</v>
      </c>
      <c r="E128">
        <v>32</v>
      </c>
      <c r="F128" s="8">
        <v>2.58E-2</v>
      </c>
      <c r="G128">
        <v>0.56345099999999992</v>
      </c>
      <c r="H128">
        <v>20.100000000000001</v>
      </c>
      <c r="I128">
        <f t="shared" si="15"/>
        <v>1.082031</v>
      </c>
    </row>
    <row r="129" spans="1:9" x14ac:dyDescent="0.35">
      <c r="A129">
        <v>11</v>
      </c>
      <c r="B129">
        <f>2^C129</f>
        <v>1048576</v>
      </c>
      <c r="C129">
        <v>20</v>
      </c>
      <c r="E129">
        <v>32</v>
      </c>
      <c r="F129" s="8">
        <v>2.58E-2</v>
      </c>
      <c r="G129">
        <v>0.69938000000000011</v>
      </c>
      <c r="H129">
        <v>20.100000000000001</v>
      </c>
      <c r="I129">
        <f t="shared" si="15"/>
        <v>1.2179600000000002</v>
      </c>
    </row>
  </sheetData>
  <mergeCells count="8">
    <mergeCell ref="F58:J58"/>
    <mergeCell ref="F88:J88"/>
    <mergeCell ref="F103:J103"/>
    <mergeCell ref="F117:J117"/>
    <mergeCell ref="F1:J1"/>
    <mergeCell ref="F15:J15"/>
    <mergeCell ref="F29:J29"/>
    <mergeCell ref="F43:J4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A554-4327-4E53-B75B-27026D7DC569}">
  <dimension ref="A1:F44"/>
  <sheetViews>
    <sheetView topLeftCell="A19" zoomScaleNormal="100" workbookViewId="0">
      <selection activeCell="F4" sqref="F4"/>
    </sheetView>
  </sheetViews>
  <sheetFormatPr defaultRowHeight="14.5" x14ac:dyDescent="0.35"/>
  <sheetData>
    <row r="1" spans="1:6" x14ac:dyDescent="0.35">
      <c r="A1" s="2" t="s">
        <v>0</v>
      </c>
      <c r="B1" s="2" t="s">
        <v>2</v>
      </c>
      <c r="C1" s="2" t="s">
        <v>35</v>
      </c>
      <c r="D1" s="2" t="s">
        <v>3</v>
      </c>
      <c r="E1" s="2" t="s">
        <v>36</v>
      </c>
      <c r="F1" s="2" t="s">
        <v>37</v>
      </c>
    </row>
    <row r="3" spans="1:6" x14ac:dyDescent="0.35">
      <c r="A3">
        <v>1</v>
      </c>
      <c r="B3">
        <v>1024</v>
      </c>
      <c r="C3">
        <v>4</v>
      </c>
      <c r="D3">
        <v>16</v>
      </c>
      <c r="E3">
        <f>LOG(D3,2)</f>
        <v>4</v>
      </c>
      <c r="F3">
        <v>0.14729999999999999</v>
      </c>
    </row>
    <row r="4" spans="1:6" x14ac:dyDescent="0.35">
      <c r="A4">
        <v>2</v>
      </c>
      <c r="B4">
        <v>1024</v>
      </c>
      <c r="C4">
        <v>4</v>
      </c>
      <c r="D4">
        <v>32</v>
      </c>
      <c r="E4">
        <f t="shared" ref="E4:E6" si="0">LOG(D4,2)</f>
        <v>5</v>
      </c>
      <c r="F4">
        <v>0.14269999999999999</v>
      </c>
    </row>
    <row r="5" spans="1:6" x14ac:dyDescent="0.35">
      <c r="A5">
        <v>3</v>
      </c>
      <c r="B5">
        <v>1024</v>
      </c>
      <c r="C5">
        <v>4</v>
      </c>
      <c r="D5">
        <v>64</v>
      </c>
      <c r="E5">
        <f t="shared" si="0"/>
        <v>6</v>
      </c>
      <c r="F5">
        <v>0.15840000000000001</v>
      </c>
    </row>
    <row r="6" spans="1:6" x14ac:dyDescent="0.35">
      <c r="A6">
        <v>4</v>
      </c>
      <c r="B6">
        <v>1024</v>
      </c>
      <c r="C6">
        <v>4</v>
      </c>
      <c r="D6">
        <v>128</v>
      </c>
      <c r="E6">
        <f t="shared" si="0"/>
        <v>7</v>
      </c>
      <c r="F6">
        <v>0.2036</v>
      </c>
    </row>
    <row r="8" spans="1:6" x14ac:dyDescent="0.35">
      <c r="A8" s="2" t="s">
        <v>0</v>
      </c>
      <c r="B8" s="2" t="s">
        <v>2</v>
      </c>
      <c r="C8" s="2" t="s">
        <v>35</v>
      </c>
      <c r="D8" s="2" t="s">
        <v>3</v>
      </c>
      <c r="E8" s="2" t="s">
        <v>36</v>
      </c>
      <c r="F8" s="2" t="s">
        <v>38</v>
      </c>
    </row>
    <row r="10" spans="1:6" x14ac:dyDescent="0.35">
      <c r="A10">
        <v>1</v>
      </c>
      <c r="B10">
        <v>2048</v>
      </c>
      <c r="C10">
        <v>4</v>
      </c>
      <c r="D10">
        <v>16</v>
      </c>
      <c r="E10">
        <f>LOG(D10,2)</f>
        <v>4</v>
      </c>
      <c r="F10">
        <v>0.1062</v>
      </c>
    </row>
    <row r="11" spans="1:6" x14ac:dyDescent="0.35">
      <c r="A11">
        <v>2</v>
      </c>
      <c r="B11">
        <v>2048</v>
      </c>
      <c r="C11">
        <v>4</v>
      </c>
      <c r="D11">
        <v>32</v>
      </c>
      <c r="E11">
        <f t="shared" ref="E11:E13" si="1">LOG(D11,2)</f>
        <v>5</v>
      </c>
      <c r="F11">
        <v>9.6199999999999994E-2</v>
      </c>
    </row>
    <row r="12" spans="1:6" x14ac:dyDescent="0.35">
      <c r="A12">
        <v>3</v>
      </c>
      <c r="B12">
        <v>2048</v>
      </c>
      <c r="C12">
        <v>4</v>
      </c>
      <c r="D12">
        <v>64</v>
      </c>
      <c r="E12">
        <f t="shared" si="1"/>
        <v>6</v>
      </c>
      <c r="F12">
        <v>0.1033</v>
      </c>
    </row>
    <row r="13" spans="1:6" x14ac:dyDescent="0.35">
      <c r="A13">
        <v>4</v>
      </c>
      <c r="B13">
        <v>2048</v>
      </c>
      <c r="C13">
        <v>4</v>
      </c>
      <c r="D13">
        <v>128</v>
      </c>
      <c r="E13">
        <f t="shared" si="1"/>
        <v>7</v>
      </c>
      <c r="F13">
        <v>0.13339999999999999</v>
      </c>
    </row>
    <row r="15" spans="1:6" x14ac:dyDescent="0.35">
      <c r="A15" s="2" t="s">
        <v>0</v>
      </c>
      <c r="B15" s="2" t="s">
        <v>2</v>
      </c>
      <c r="C15" s="2" t="s">
        <v>35</v>
      </c>
      <c r="D15" s="2" t="s">
        <v>3</v>
      </c>
      <c r="E15" s="2" t="s">
        <v>36</v>
      </c>
      <c r="F15" s="2" t="s">
        <v>39</v>
      </c>
    </row>
    <row r="17" spans="1:6" x14ac:dyDescent="0.35">
      <c r="A17">
        <v>1</v>
      </c>
      <c r="B17">
        <v>4096</v>
      </c>
      <c r="C17">
        <v>4</v>
      </c>
      <c r="D17">
        <v>16</v>
      </c>
      <c r="E17">
        <f>LOG(D17,2)</f>
        <v>4</v>
      </c>
      <c r="F17">
        <v>7.5499999999999998E-2</v>
      </c>
    </row>
    <row r="18" spans="1:6" x14ac:dyDescent="0.35">
      <c r="A18">
        <v>2</v>
      </c>
      <c r="B18">
        <v>4096</v>
      </c>
      <c r="C18">
        <v>4</v>
      </c>
      <c r="D18">
        <v>32</v>
      </c>
      <c r="E18">
        <f t="shared" ref="E18:E20" si="2">LOG(D18,2)</f>
        <v>5</v>
      </c>
      <c r="F18">
        <v>5.9900000000000002E-2</v>
      </c>
    </row>
    <row r="19" spans="1:6" x14ac:dyDescent="0.35">
      <c r="A19">
        <v>3</v>
      </c>
      <c r="B19">
        <v>4096</v>
      </c>
      <c r="C19">
        <v>4</v>
      </c>
      <c r="D19">
        <v>64</v>
      </c>
      <c r="E19">
        <f t="shared" si="2"/>
        <v>6</v>
      </c>
      <c r="F19">
        <v>6.1899999999999997E-2</v>
      </c>
    </row>
    <row r="20" spans="1:6" x14ac:dyDescent="0.35">
      <c r="A20">
        <v>4</v>
      </c>
      <c r="B20">
        <v>4096</v>
      </c>
      <c r="C20">
        <v>4</v>
      </c>
      <c r="D20">
        <v>128</v>
      </c>
      <c r="E20">
        <f t="shared" si="2"/>
        <v>7</v>
      </c>
      <c r="F20">
        <v>8.3000000000000004E-2</v>
      </c>
    </row>
    <row r="23" spans="1:6" x14ac:dyDescent="0.35">
      <c r="A23" s="2" t="s">
        <v>0</v>
      </c>
      <c r="B23" s="2" t="s">
        <v>2</v>
      </c>
      <c r="C23" s="2" t="s">
        <v>35</v>
      </c>
      <c r="D23" s="2" t="s">
        <v>3</v>
      </c>
      <c r="E23" s="2" t="s">
        <v>36</v>
      </c>
      <c r="F23" s="2" t="s">
        <v>40</v>
      </c>
    </row>
    <row r="25" spans="1:6" x14ac:dyDescent="0.35">
      <c r="A25">
        <v>1</v>
      </c>
      <c r="B25">
        <v>8192</v>
      </c>
      <c r="C25">
        <v>4</v>
      </c>
      <c r="D25">
        <v>16</v>
      </c>
      <c r="E25">
        <f>LOG(D25,2)</f>
        <v>4</v>
      </c>
      <c r="F25">
        <v>5.9499999999999997E-2</v>
      </c>
    </row>
    <row r="26" spans="1:6" x14ac:dyDescent="0.35">
      <c r="A26">
        <v>2</v>
      </c>
      <c r="B26">
        <v>8192</v>
      </c>
      <c r="C26">
        <v>4</v>
      </c>
      <c r="D26">
        <v>32</v>
      </c>
      <c r="E26">
        <f t="shared" ref="E26:E28" si="3">LOG(D26,2)</f>
        <v>5</v>
      </c>
      <c r="F26">
        <v>4.2500000000000003E-2</v>
      </c>
    </row>
    <row r="27" spans="1:6" x14ac:dyDescent="0.35">
      <c r="A27">
        <v>3</v>
      </c>
      <c r="B27">
        <v>8192</v>
      </c>
      <c r="C27">
        <v>4</v>
      </c>
      <c r="D27">
        <v>64</v>
      </c>
      <c r="E27">
        <f t="shared" si="3"/>
        <v>6</v>
      </c>
      <c r="F27">
        <v>3.8600000000000002E-2</v>
      </c>
    </row>
    <row r="28" spans="1:6" x14ac:dyDescent="0.35">
      <c r="A28">
        <v>4</v>
      </c>
      <c r="B28">
        <v>8192</v>
      </c>
      <c r="C28">
        <v>4</v>
      </c>
      <c r="D28">
        <v>128</v>
      </c>
      <c r="E28">
        <f t="shared" si="3"/>
        <v>7</v>
      </c>
      <c r="F28">
        <v>4.8300000000000003E-2</v>
      </c>
    </row>
    <row r="31" spans="1:6" x14ac:dyDescent="0.35">
      <c r="A31" s="2" t="s">
        <v>0</v>
      </c>
      <c r="B31" s="2" t="s">
        <v>2</v>
      </c>
      <c r="C31" s="2" t="s">
        <v>35</v>
      </c>
      <c r="D31" s="2" t="s">
        <v>3</v>
      </c>
      <c r="E31" s="2" t="s">
        <v>36</v>
      </c>
      <c r="F31" s="2" t="s">
        <v>41</v>
      </c>
    </row>
    <row r="33" spans="1:6" x14ac:dyDescent="0.35">
      <c r="A33">
        <v>1</v>
      </c>
      <c r="B33">
        <v>16384</v>
      </c>
      <c r="C33">
        <v>4</v>
      </c>
      <c r="D33">
        <v>16</v>
      </c>
      <c r="E33">
        <f>LOG(D33,2)</f>
        <v>4</v>
      </c>
      <c r="F33">
        <v>4.82E-2</v>
      </c>
    </row>
    <row r="34" spans="1:6" x14ac:dyDescent="0.35">
      <c r="A34">
        <v>2</v>
      </c>
      <c r="B34">
        <v>16384</v>
      </c>
      <c r="C34">
        <v>4</v>
      </c>
      <c r="D34">
        <v>32</v>
      </c>
      <c r="E34">
        <f t="shared" ref="E34:E36" si="4">LOG(D34,2)</f>
        <v>5</v>
      </c>
      <c r="F34">
        <v>2.8299999999999999E-2</v>
      </c>
    </row>
    <row r="35" spans="1:6" x14ac:dyDescent="0.35">
      <c r="A35">
        <v>3</v>
      </c>
      <c r="B35">
        <v>16384</v>
      </c>
      <c r="C35">
        <v>4</v>
      </c>
      <c r="D35">
        <v>64</v>
      </c>
      <c r="E35">
        <f t="shared" si="4"/>
        <v>6</v>
      </c>
      <c r="F35">
        <v>2.0400000000000001E-2</v>
      </c>
    </row>
    <row r="36" spans="1:6" x14ac:dyDescent="0.35">
      <c r="A36">
        <v>4</v>
      </c>
      <c r="B36">
        <v>16384</v>
      </c>
      <c r="C36">
        <v>4</v>
      </c>
      <c r="D36">
        <v>128</v>
      </c>
      <c r="E36">
        <f t="shared" si="4"/>
        <v>7</v>
      </c>
      <c r="F36">
        <v>1.9800000000000002E-2</v>
      </c>
    </row>
    <row r="39" spans="1:6" x14ac:dyDescent="0.35">
      <c r="A39" s="2" t="s">
        <v>0</v>
      </c>
      <c r="B39" s="2" t="s">
        <v>2</v>
      </c>
      <c r="C39" s="2" t="s">
        <v>35</v>
      </c>
      <c r="D39" s="2" t="s">
        <v>3</v>
      </c>
      <c r="E39" s="2" t="s">
        <v>36</v>
      </c>
      <c r="F39" s="2" t="s">
        <v>42</v>
      </c>
    </row>
    <row r="41" spans="1:6" x14ac:dyDescent="0.35">
      <c r="A41">
        <v>1</v>
      </c>
      <c r="B41">
        <v>32768</v>
      </c>
      <c r="C41">
        <v>4</v>
      </c>
      <c r="D41">
        <v>16</v>
      </c>
      <c r="E41">
        <f>LOG(D41,2)</f>
        <v>4</v>
      </c>
      <c r="F41">
        <v>4.7500000000000001E-2</v>
      </c>
    </row>
    <row r="42" spans="1:6" x14ac:dyDescent="0.35">
      <c r="A42">
        <v>2</v>
      </c>
      <c r="B42">
        <v>32768</v>
      </c>
      <c r="C42">
        <v>4</v>
      </c>
      <c r="D42">
        <v>32</v>
      </c>
      <c r="E42">
        <f t="shared" ref="E42:E44" si="5">LOG(D42,2)</f>
        <v>5</v>
      </c>
      <c r="F42">
        <v>2.64E-2</v>
      </c>
    </row>
    <row r="43" spans="1:6" x14ac:dyDescent="0.35">
      <c r="A43">
        <v>3</v>
      </c>
      <c r="B43">
        <v>32768</v>
      </c>
      <c r="C43">
        <v>4</v>
      </c>
      <c r="D43">
        <v>64</v>
      </c>
      <c r="E43">
        <f t="shared" si="5"/>
        <v>6</v>
      </c>
      <c r="F43">
        <v>1.5599999999999999E-2</v>
      </c>
    </row>
    <row r="44" spans="1:6" x14ac:dyDescent="0.35">
      <c r="A44">
        <v>4</v>
      </c>
      <c r="B44">
        <v>32768</v>
      </c>
      <c r="C44">
        <v>4</v>
      </c>
      <c r="D44">
        <v>128</v>
      </c>
      <c r="E44">
        <f t="shared" si="5"/>
        <v>7</v>
      </c>
      <c r="F44">
        <v>1.11E-2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DC70-A739-434F-8701-9D5693AED6C9}">
  <dimension ref="A1:I27"/>
  <sheetViews>
    <sheetView zoomScale="115" zoomScaleNormal="115" workbookViewId="0">
      <selection activeCell="I3" sqref="I3"/>
    </sheetView>
  </sheetViews>
  <sheetFormatPr defaultRowHeight="14.5" x14ac:dyDescent="0.35"/>
  <cols>
    <col min="3" max="3" width="11.54296875" customWidth="1"/>
  </cols>
  <sheetData>
    <row r="1" spans="1:9" ht="29" x14ac:dyDescent="0.35">
      <c r="A1" s="3" t="s">
        <v>0</v>
      </c>
      <c r="B1" s="3" t="s">
        <v>28</v>
      </c>
      <c r="C1" s="3" t="s">
        <v>1</v>
      </c>
      <c r="D1" s="3" t="s">
        <v>26</v>
      </c>
      <c r="G1" s="3" t="s">
        <v>33</v>
      </c>
    </row>
    <row r="2" spans="1:9" x14ac:dyDescent="0.35">
      <c r="D2" t="s">
        <v>20</v>
      </c>
      <c r="E2" t="s">
        <v>27</v>
      </c>
      <c r="F2" t="s">
        <v>19</v>
      </c>
      <c r="G2" t="s">
        <v>32</v>
      </c>
      <c r="H2" t="s">
        <v>34</v>
      </c>
      <c r="I2" t="s">
        <v>23</v>
      </c>
    </row>
    <row r="3" spans="1:9" x14ac:dyDescent="0.35">
      <c r="A3">
        <v>1</v>
      </c>
      <c r="B3">
        <v>1024</v>
      </c>
      <c r="C3">
        <v>10</v>
      </c>
      <c r="D3">
        <v>0.19350000000000001</v>
      </c>
      <c r="E3">
        <v>0.1434</v>
      </c>
      <c r="F3">
        <v>0.114797</v>
      </c>
      <c r="G3">
        <v>0.25435399999999997</v>
      </c>
      <c r="H3">
        <v>20.100000000000001</v>
      </c>
      <c r="I3">
        <f>F3+D3*(G3+(E3*H3))</f>
        <v>0.72174728900000007</v>
      </c>
    </row>
    <row r="4" spans="1:9" x14ac:dyDescent="0.35">
      <c r="A4">
        <v>2</v>
      </c>
      <c r="B4">
        <v>2048</v>
      </c>
      <c r="C4">
        <v>11</v>
      </c>
      <c r="D4">
        <v>0.1477</v>
      </c>
      <c r="E4">
        <v>0.18779999999999999</v>
      </c>
      <c r="F4">
        <v>0.12909000000000001</v>
      </c>
      <c r="G4">
        <v>0.25435399999999997</v>
      </c>
      <c r="H4">
        <v>20.100000000000001</v>
      </c>
      <c r="I4">
        <f>F4+D4*(G4+(E4*H4))</f>
        <v>0.72419309180000002</v>
      </c>
    </row>
    <row r="5" spans="1:9" x14ac:dyDescent="0.35">
      <c r="A5">
        <v>3</v>
      </c>
      <c r="B5">
        <v>4096</v>
      </c>
      <c r="C5">
        <v>12</v>
      </c>
      <c r="D5">
        <v>0.1002</v>
      </c>
      <c r="E5">
        <v>0.27360000000000001</v>
      </c>
      <c r="F5">
        <v>0.147005</v>
      </c>
      <c r="G5">
        <v>0.25435399999999997</v>
      </c>
      <c r="H5">
        <v>20.100000000000001</v>
      </c>
      <c r="I5">
        <f t="shared" ref="I4:I6" si="0">F5+D5*(G5+(E5*H5))</f>
        <v>0.72352714280000008</v>
      </c>
    </row>
    <row r="6" spans="1:9" x14ac:dyDescent="0.35">
      <c r="A6">
        <v>4</v>
      </c>
      <c r="B6">
        <v>8192</v>
      </c>
      <c r="C6">
        <v>13</v>
      </c>
      <c r="D6">
        <v>6.7000000000000004E-2</v>
      </c>
      <c r="E6">
        <v>0.3967</v>
      </c>
      <c r="F6">
        <v>0.16383</v>
      </c>
      <c r="G6">
        <v>0.25435399999999997</v>
      </c>
      <c r="H6">
        <v>20.100000000000001</v>
      </c>
      <c r="I6">
        <f t="shared" si="0"/>
        <v>0.71510760800000006</v>
      </c>
    </row>
    <row r="8" spans="1:9" ht="29" x14ac:dyDescent="0.35">
      <c r="A8" s="3" t="s">
        <v>0</v>
      </c>
      <c r="B8" s="3" t="s">
        <v>28</v>
      </c>
      <c r="C8" s="3" t="s">
        <v>1</v>
      </c>
      <c r="D8" s="3" t="s">
        <v>29</v>
      </c>
    </row>
    <row r="9" spans="1:9" x14ac:dyDescent="0.35">
      <c r="D9" t="s">
        <v>20</v>
      </c>
      <c r="E9" t="s">
        <v>27</v>
      </c>
      <c r="F9" t="s">
        <v>19</v>
      </c>
      <c r="G9" t="s">
        <v>32</v>
      </c>
      <c r="H9" t="s">
        <v>34</v>
      </c>
      <c r="I9" t="s">
        <v>22</v>
      </c>
    </row>
    <row r="10" spans="1:9" x14ac:dyDescent="0.35">
      <c r="A10">
        <v>1</v>
      </c>
      <c r="B10">
        <v>1024</v>
      </c>
      <c r="C10">
        <v>10</v>
      </c>
      <c r="D10">
        <v>0.156</v>
      </c>
      <c r="E10">
        <v>0.17749999999999999</v>
      </c>
      <c r="F10">
        <v>0.14032899999999998</v>
      </c>
      <c r="G10">
        <v>0.25435399999999997</v>
      </c>
      <c r="H10">
        <v>20.100000000000001</v>
      </c>
      <c r="I10">
        <f>F10+D10*(G10+(E10*H10))</f>
        <v>0.73657722400000014</v>
      </c>
    </row>
    <row r="11" spans="1:9" x14ac:dyDescent="0.35">
      <c r="A11">
        <v>2</v>
      </c>
      <c r="B11">
        <v>2048</v>
      </c>
      <c r="C11">
        <v>11</v>
      </c>
      <c r="D11">
        <v>0.1071</v>
      </c>
      <c r="E11">
        <v>0.25850000000000001</v>
      </c>
      <c r="F11">
        <v>0.161691</v>
      </c>
      <c r="G11">
        <v>0.25435399999999997</v>
      </c>
      <c r="H11">
        <v>20.100000000000001</v>
      </c>
      <c r="I11">
        <f>F11+D11*(G11+(E11*H11))</f>
        <v>0.74540784840000007</v>
      </c>
    </row>
    <row r="12" spans="1:9" x14ac:dyDescent="0.35">
      <c r="A12">
        <v>3</v>
      </c>
      <c r="B12">
        <v>4096</v>
      </c>
      <c r="C12">
        <v>12</v>
      </c>
      <c r="D12">
        <v>7.5300000000000006E-2</v>
      </c>
      <c r="E12">
        <v>0.36880000000000002</v>
      </c>
      <c r="F12">
        <v>0.18113099999999999</v>
      </c>
      <c r="G12">
        <v>0.25435399999999997</v>
      </c>
      <c r="H12">
        <v>20.100000000000001</v>
      </c>
      <c r="I12">
        <f t="shared" ref="I12:I13" si="1">F12+D12*(G12+(E12*H12))</f>
        <v>0.75847372020000003</v>
      </c>
    </row>
    <row r="13" spans="1:9" x14ac:dyDescent="0.35">
      <c r="A13">
        <v>4</v>
      </c>
      <c r="B13">
        <v>8192</v>
      </c>
      <c r="C13">
        <v>13</v>
      </c>
      <c r="D13">
        <v>4.7300000000000002E-2</v>
      </c>
      <c r="E13">
        <v>0.57140000000000002</v>
      </c>
      <c r="F13">
        <v>0.19419499999999998</v>
      </c>
      <c r="G13">
        <v>0.25435399999999997</v>
      </c>
      <c r="H13">
        <v>20.100000000000001</v>
      </c>
      <c r="I13">
        <f t="shared" si="1"/>
        <v>0.74947306620000009</v>
      </c>
    </row>
    <row r="15" spans="1:9" ht="29" x14ac:dyDescent="0.35">
      <c r="A15" s="3" t="s">
        <v>0</v>
      </c>
      <c r="B15" s="3" t="s">
        <v>28</v>
      </c>
      <c r="C15" s="3" t="s">
        <v>1</v>
      </c>
      <c r="D15" s="3" t="s">
        <v>30</v>
      </c>
    </row>
    <row r="16" spans="1:9" x14ac:dyDescent="0.35">
      <c r="D16" t="s">
        <v>20</v>
      </c>
      <c r="E16" t="s">
        <v>27</v>
      </c>
      <c r="F16" t="s">
        <v>19</v>
      </c>
      <c r="G16" t="s">
        <v>32</v>
      </c>
      <c r="H16" t="s">
        <v>34</v>
      </c>
      <c r="I16" t="s">
        <v>24</v>
      </c>
    </row>
    <row r="17" spans="1:9" x14ac:dyDescent="0.35">
      <c r="A17">
        <v>1</v>
      </c>
      <c r="B17">
        <v>1024</v>
      </c>
      <c r="C17">
        <v>10</v>
      </c>
      <c r="D17">
        <v>0.14269999999999999</v>
      </c>
      <c r="E17">
        <v>0.19409999999999999</v>
      </c>
      <c r="F17">
        <v>0.14682000000000001</v>
      </c>
      <c r="G17">
        <v>0.25435399999999997</v>
      </c>
      <c r="H17">
        <v>20.100000000000001</v>
      </c>
      <c r="I17">
        <f>F17+D17*(G17+(E17*H17))</f>
        <v>0.7398475228000001</v>
      </c>
    </row>
    <row r="18" spans="1:9" x14ac:dyDescent="0.35">
      <c r="A18">
        <v>2</v>
      </c>
      <c r="B18">
        <v>2048</v>
      </c>
      <c r="C18">
        <v>11</v>
      </c>
      <c r="D18">
        <v>9.6199999999999994E-2</v>
      </c>
      <c r="E18">
        <v>0.28970000000000001</v>
      </c>
      <c r="F18">
        <v>0.15449599999999999</v>
      </c>
      <c r="G18">
        <v>0.25435399999999997</v>
      </c>
      <c r="H18">
        <v>20.100000000000001</v>
      </c>
      <c r="I18">
        <f>F18+D18*(G18+(E18*H18))</f>
        <v>0.73913456880000006</v>
      </c>
    </row>
    <row r="19" spans="1:9" x14ac:dyDescent="0.35">
      <c r="A19">
        <v>3</v>
      </c>
      <c r="B19">
        <v>4096</v>
      </c>
      <c r="C19">
        <v>12</v>
      </c>
      <c r="D19">
        <v>5.9900000000000002E-2</v>
      </c>
      <c r="E19">
        <v>0.45979999999999999</v>
      </c>
      <c r="F19">
        <v>0.18568499999999999</v>
      </c>
      <c r="G19">
        <v>0.25435399999999997</v>
      </c>
      <c r="H19">
        <v>20.100000000000001</v>
      </c>
      <c r="I19">
        <f t="shared" ref="I19:I20" si="2">F19+D19*(G19+(E19*H19))</f>
        <v>0.75451540659999994</v>
      </c>
    </row>
    <row r="20" spans="1:9" x14ac:dyDescent="0.35">
      <c r="A20">
        <v>4</v>
      </c>
      <c r="B20">
        <v>8192</v>
      </c>
      <c r="C20">
        <v>13</v>
      </c>
      <c r="D20">
        <v>4.2500000000000003E-2</v>
      </c>
      <c r="E20">
        <v>0.64610000000000001</v>
      </c>
      <c r="F20">
        <v>0.211173</v>
      </c>
      <c r="G20">
        <v>0.25435399999999997</v>
      </c>
      <c r="H20">
        <v>20.100000000000001</v>
      </c>
      <c r="I20">
        <f t="shared" si="2"/>
        <v>0.77391396999999995</v>
      </c>
    </row>
    <row r="22" spans="1:9" ht="29" x14ac:dyDescent="0.35">
      <c r="A22" s="3" t="s">
        <v>0</v>
      </c>
      <c r="B22" s="3" t="s">
        <v>28</v>
      </c>
      <c r="C22" s="3" t="s">
        <v>1</v>
      </c>
      <c r="D22" s="3" t="s">
        <v>31</v>
      </c>
    </row>
    <row r="23" spans="1:9" x14ac:dyDescent="0.35">
      <c r="D23" t="s">
        <v>20</v>
      </c>
      <c r="E23" t="s">
        <v>27</v>
      </c>
      <c r="F23" t="s">
        <v>19</v>
      </c>
      <c r="G23" t="s">
        <v>32</v>
      </c>
      <c r="H23" t="s">
        <v>34</v>
      </c>
      <c r="I23" t="s">
        <v>25</v>
      </c>
    </row>
    <row r="24" spans="1:9" x14ac:dyDescent="0.35">
      <c r="A24" s="9">
        <v>1</v>
      </c>
      <c r="B24" s="9">
        <v>1024</v>
      </c>
      <c r="C24" s="9">
        <v>10</v>
      </c>
      <c r="D24" s="9">
        <v>0.1363</v>
      </c>
      <c r="E24" s="9">
        <v>0.2036</v>
      </c>
      <c r="F24" s="9"/>
      <c r="G24" s="9">
        <v>0.25435399999999997</v>
      </c>
      <c r="H24" s="9">
        <v>20.100000000000001</v>
      </c>
      <c r="I24" s="9">
        <v>0.75</v>
      </c>
    </row>
    <row r="25" spans="1:9" x14ac:dyDescent="0.35">
      <c r="A25">
        <v>2</v>
      </c>
      <c r="B25">
        <v>2048</v>
      </c>
      <c r="C25">
        <v>11</v>
      </c>
      <c r="D25">
        <v>9.0700000000000003E-2</v>
      </c>
      <c r="E25">
        <v>0.30530000000000002</v>
      </c>
      <c r="F25">
        <v>0.18068599999999999</v>
      </c>
      <c r="G25">
        <v>0.25435399999999997</v>
      </c>
      <c r="H25">
        <v>20.100000000000001</v>
      </c>
      <c r="I25">
        <f>F25+D25*(G25+(E25*H25))</f>
        <v>0.76033917880000013</v>
      </c>
    </row>
    <row r="26" spans="1:9" x14ac:dyDescent="0.35">
      <c r="A26">
        <v>3</v>
      </c>
      <c r="B26">
        <v>4096</v>
      </c>
      <c r="C26">
        <v>12</v>
      </c>
      <c r="D26">
        <v>5.3699999999999998E-2</v>
      </c>
      <c r="E26">
        <v>0.5131</v>
      </c>
      <c r="F26">
        <v>0.18906499999999998</v>
      </c>
      <c r="G26">
        <v>0.25435399999999997</v>
      </c>
      <c r="H26">
        <v>20.100000000000001</v>
      </c>
      <c r="I26">
        <f t="shared" ref="I26:I27" si="3">F26+D26*(G26+(E26*H26))</f>
        <v>0.75654855679999988</v>
      </c>
    </row>
    <row r="27" spans="1:9" x14ac:dyDescent="0.35">
      <c r="A27">
        <v>4</v>
      </c>
      <c r="B27">
        <v>8192</v>
      </c>
      <c r="C27">
        <v>13</v>
      </c>
      <c r="D27">
        <v>3.95E-2</v>
      </c>
      <c r="E27">
        <v>0.66969999999999996</v>
      </c>
      <c r="F27">
        <v>0.21291099999999999</v>
      </c>
      <c r="G27">
        <v>0.25435399999999997</v>
      </c>
      <c r="H27">
        <v>20.100000000000001</v>
      </c>
      <c r="I27">
        <f t="shared" si="3"/>
        <v>0.75466629799999996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B5B85-3B29-460A-8A8F-689689EF05BB}">
  <dimension ref="A1:J22"/>
  <sheetViews>
    <sheetView topLeftCell="A2" zoomScale="115" zoomScaleNormal="115" workbookViewId="0">
      <selection activeCell="B7" sqref="B7"/>
    </sheetView>
  </sheetViews>
  <sheetFormatPr defaultRowHeight="14.5" x14ac:dyDescent="0.35"/>
  <cols>
    <col min="2" max="2" width="11.26953125" customWidth="1"/>
    <col min="3" max="3" width="11.6328125" customWidth="1"/>
  </cols>
  <sheetData>
    <row r="1" spans="1:10" x14ac:dyDescent="0.35">
      <c r="A1" t="s">
        <v>43</v>
      </c>
      <c r="B1">
        <v>32</v>
      </c>
      <c r="D1">
        <v>16384</v>
      </c>
    </row>
    <row r="2" spans="1:10" x14ac:dyDescent="0.35">
      <c r="A2" t="s">
        <v>44</v>
      </c>
      <c r="B2">
        <v>4</v>
      </c>
      <c r="D2">
        <v>32768</v>
      </c>
    </row>
    <row r="3" spans="1:10" x14ac:dyDescent="0.35">
      <c r="A3" t="s">
        <v>45</v>
      </c>
      <c r="B3">
        <v>8</v>
      </c>
      <c r="D3">
        <v>65536</v>
      </c>
    </row>
    <row r="5" spans="1:10" ht="29" x14ac:dyDescent="0.35">
      <c r="A5" s="5" t="s">
        <v>46</v>
      </c>
      <c r="B5" s="3" t="s">
        <v>28</v>
      </c>
      <c r="C5" s="3" t="s">
        <v>1</v>
      </c>
      <c r="D5" s="5" t="s">
        <v>47</v>
      </c>
      <c r="E5" s="2" t="s">
        <v>20</v>
      </c>
      <c r="F5" s="2" t="s">
        <v>27</v>
      </c>
      <c r="G5" s="2" t="s">
        <v>19</v>
      </c>
      <c r="H5" s="2" t="s">
        <v>32</v>
      </c>
      <c r="I5" s="2" t="s">
        <v>34</v>
      </c>
      <c r="J5" s="2" t="s">
        <v>48</v>
      </c>
    </row>
    <row r="6" spans="1:10" x14ac:dyDescent="0.35">
      <c r="A6">
        <v>1</v>
      </c>
      <c r="B6">
        <v>1024</v>
      </c>
      <c r="C6">
        <v>10</v>
      </c>
      <c r="D6">
        <v>16384</v>
      </c>
      <c r="E6">
        <v>0.14269999999999999</v>
      </c>
      <c r="F6">
        <v>0.19409999999999999</v>
      </c>
      <c r="G6">
        <v>0.14682000000000001</v>
      </c>
      <c r="H6">
        <v>0.25435399999999997</v>
      </c>
      <c r="I6">
        <v>20.100000000000001</v>
      </c>
      <c r="J6">
        <f>G6+E6*(H6+(F6*I6))</f>
        <v>0.7398475228000001</v>
      </c>
    </row>
    <row r="7" spans="1:10" x14ac:dyDescent="0.35">
      <c r="A7">
        <v>2</v>
      </c>
      <c r="B7">
        <v>2048</v>
      </c>
      <c r="C7">
        <v>11</v>
      </c>
      <c r="D7">
        <v>16384</v>
      </c>
      <c r="E7">
        <v>9.6199999999999994E-2</v>
      </c>
      <c r="F7">
        <v>0.28789999999999999</v>
      </c>
      <c r="G7">
        <v>0.15449599999999999</v>
      </c>
      <c r="H7">
        <v>0.25435399999999997</v>
      </c>
      <c r="I7">
        <v>20.100000000000001</v>
      </c>
      <c r="J7">
        <f t="shared" ref="J7:J9" si="0">G7+E7*(H7+(F7*I7))</f>
        <v>0.73565405279999996</v>
      </c>
    </row>
    <row r="8" spans="1:10" x14ac:dyDescent="0.35">
      <c r="A8">
        <v>3</v>
      </c>
      <c r="B8">
        <v>4096</v>
      </c>
      <c r="C8">
        <v>12</v>
      </c>
      <c r="D8">
        <v>16384</v>
      </c>
      <c r="E8">
        <v>5.9900000000000002E-2</v>
      </c>
      <c r="F8">
        <v>0.45979999999999999</v>
      </c>
      <c r="G8">
        <v>0.18568499999999999</v>
      </c>
      <c r="H8">
        <v>0.25435399999999997</v>
      </c>
      <c r="I8">
        <v>20.100000000000001</v>
      </c>
      <c r="J8">
        <f t="shared" si="0"/>
        <v>0.75451540659999994</v>
      </c>
    </row>
    <row r="9" spans="1:10" x14ac:dyDescent="0.35">
      <c r="A9">
        <v>4</v>
      </c>
      <c r="B9">
        <v>8192</v>
      </c>
      <c r="C9">
        <v>13</v>
      </c>
      <c r="D9">
        <v>16384</v>
      </c>
      <c r="E9">
        <v>4.2500000000000003E-2</v>
      </c>
      <c r="F9">
        <v>0.64610000000000001</v>
      </c>
      <c r="G9">
        <v>0.211173</v>
      </c>
      <c r="H9">
        <v>0.25435399999999997</v>
      </c>
      <c r="I9">
        <v>20.100000000000001</v>
      </c>
      <c r="J9">
        <f t="shared" si="0"/>
        <v>0.77391396999999995</v>
      </c>
    </row>
    <row r="11" spans="1:10" ht="29" x14ac:dyDescent="0.35">
      <c r="A11" s="5" t="s">
        <v>46</v>
      </c>
      <c r="B11" s="3" t="s">
        <v>28</v>
      </c>
      <c r="C11" s="3" t="s">
        <v>1</v>
      </c>
      <c r="D11" s="5" t="s">
        <v>47</v>
      </c>
      <c r="E11" s="2" t="s">
        <v>20</v>
      </c>
      <c r="F11" s="2" t="s">
        <v>27</v>
      </c>
      <c r="G11" s="2" t="s">
        <v>19</v>
      </c>
      <c r="H11" s="2" t="s">
        <v>32</v>
      </c>
      <c r="I11" s="2" t="s">
        <v>34</v>
      </c>
      <c r="J11" s="2" t="s">
        <v>49</v>
      </c>
    </row>
    <row r="12" spans="1:10" x14ac:dyDescent="0.35">
      <c r="A12">
        <v>1</v>
      </c>
      <c r="B12">
        <v>1024</v>
      </c>
      <c r="C12">
        <v>10</v>
      </c>
      <c r="D12">
        <v>32768</v>
      </c>
      <c r="E12">
        <v>0.14269999999999999</v>
      </c>
      <c r="F12">
        <v>0.184</v>
      </c>
      <c r="G12">
        <v>0.14682000000000001</v>
      </c>
      <c r="H12">
        <v>0.25435399999999997</v>
      </c>
      <c r="I12">
        <v>20.100000000000001</v>
      </c>
      <c r="J12">
        <f>G12+E12*(H12+(F12*I12))</f>
        <v>0.7108779958</v>
      </c>
    </row>
    <row r="13" spans="1:10" x14ac:dyDescent="0.35">
      <c r="A13">
        <v>2</v>
      </c>
      <c r="B13">
        <v>2048</v>
      </c>
      <c r="C13">
        <v>11</v>
      </c>
      <c r="D13">
        <v>32768</v>
      </c>
      <c r="E13">
        <v>9.6199999999999994E-2</v>
      </c>
      <c r="F13">
        <v>0.27279999999999999</v>
      </c>
      <c r="G13">
        <v>0.15449599999999999</v>
      </c>
      <c r="H13">
        <v>0.25435399999999997</v>
      </c>
      <c r="I13">
        <v>20.100000000000001</v>
      </c>
      <c r="J13">
        <f t="shared" ref="J13:J15" si="1">G13+E13*(H13+(F13*I13))</f>
        <v>0.70645639079999989</v>
      </c>
    </row>
    <row r="14" spans="1:10" x14ac:dyDescent="0.35">
      <c r="A14">
        <v>3</v>
      </c>
      <c r="B14">
        <v>4096</v>
      </c>
      <c r="C14">
        <v>12</v>
      </c>
      <c r="D14">
        <v>32768</v>
      </c>
      <c r="E14">
        <v>5.9900000000000002E-2</v>
      </c>
      <c r="F14">
        <v>0.43809999999999999</v>
      </c>
      <c r="G14">
        <v>0.18568499999999999</v>
      </c>
      <c r="H14">
        <v>0.25435399999999997</v>
      </c>
      <c r="I14">
        <v>20.100000000000001</v>
      </c>
      <c r="J14">
        <f t="shared" si="1"/>
        <v>0.72838882360000001</v>
      </c>
    </row>
    <row r="15" spans="1:10" x14ac:dyDescent="0.35">
      <c r="A15">
        <v>4</v>
      </c>
      <c r="B15">
        <v>8192</v>
      </c>
      <c r="C15">
        <v>13</v>
      </c>
      <c r="D15">
        <v>32768</v>
      </c>
      <c r="E15">
        <v>4.2500000000000003E-2</v>
      </c>
      <c r="F15">
        <v>0.61809999999999998</v>
      </c>
      <c r="G15">
        <v>0.211173</v>
      </c>
      <c r="H15">
        <v>0.25435399999999997</v>
      </c>
      <c r="I15">
        <v>20.100000000000001</v>
      </c>
      <c r="J15">
        <f t="shared" si="1"/>
        <v>0.74999497000000015</v>
      </c>
    </row>
    <row r="18" spans="1:10" ht="29" x14ac:dyDescent="0.35">
      <c r="A18" s="5" t="s">
        <v>46</v>
      </c>
      <c r="B18" s="3" t="s">
        <v>28</v>
      </c>
      <c r="C18" s="3" t="s">
        <v>1</v>
      </c>
      <c r="D18" s="5" t="s">
        <v>47</v>
      </c>
      <c r="E18" s="2" t="s">
        <v>20</v>
      </c>
      <c r="F18" s="2" t="s">
        <v>27</v>
      </c>
      <c r="G18" s="2" t="s">
        <v>19</v>
      </c>
      <c r="H18" s="2" t="s">
        <v>32</v>
      </c>
      <c r="I18" s="2" t="s">
        <v>34</v>
      </c>
      <c r="J18" s="2" t="s">
        <v>50</v>
      </c>
    </row>
    <row r="19" spans="1:10" x14ac:dyDescent="0.35">
      <c r="A19">
        <v>1</v>
      </c>
      <c r="B19">
        <v>1024</v>
      </c>
      <c r="C19">
        <v>10</v>
      </c>
      <c r="D19">
        <v>65536</v>
      </c>
      <c r="E19">
        <v>0.14269999999999999</v>
      </c>
      <c r="F19">
        <v>0.18140000000000001</v>
      </c>
      <c r="G19">
        <v>0.14682000000000001</v>
      </c>
      <c r="H19">
        <v>0.25435399999999997</v>
      </c>
      <c r="I19">
        <v>20.100000000000001</v>
      </c>
      <c r="J19">
        <f t="shared" ref="J19:J22" si="2">G19+E19*(H19+(F19*I19))</f>
        <v>0.70342049379999994</v>
      </c>
    </row>
    <row r="20" spans="1:10" x14ac:dyDescent="0.35">
      <c r="A20">
        <v>2</v>
      </c>
      <c r="B20">
        <v>2048</v>
      </c>
      <c r="C20">
        <v>11</v>
      </c>
      <c r="D20">
        <v>65536</v>
      </c>
      <c r="E20">
        <v>9.6199999999999994E-2</v>
      </c>
      <c r="F20">
        <v>0.26910000000000001</v>
      </c>
      <c r="G20">
        <v>0.15449599999999999</v>
      </c>
      <c r="H20">
        <v>0.25435399999999997</v>
      </c>
      <c r="I20">
        <v>20.100000000000001</v>
      </c>
      <c r="J20">
        <f t="shared" si="2"/>
        <v>0.69930199680000005</v>
      </c>
    </row>
    <row r="21" spans="1:10" x14ac:dyDescent="0.35">
      <c r="A21">
        <v>3</v>
      </c>
      <c r="B21">
        <v>4096</v>
      </c>
      <c r="C21">
        <v>12</v>
      </c>
      <c r="D21">
        <v>65536</v>
      </c>
      <c r="E21">
        <v>5.9900000000000002E-2</v>
      </c>
      <c r="F21">
        <v>0.43259999999999998</v>
      </c>
      <c r="G21">
        <v>0.18568499999999999</v>
      </c>
      <c r="H21">
        <v>0.25435399999999997</v>
      </c>
      <c r="I21">
        <v>20.100000000000001</v>
      </c>
      <c r="J21">
        <f t="shared" si="2"/>
        <v>0.72176687859999999</v>
      </c>
    </row>
    <row r="22" spans="1:10" x14ac:dyDescent="0.35">
      <c r="A22">
        <v>4</v>
      </c>
      <c r="B22">
        <v>8192</v>
      </c>
      <c r="C22">
        <v>13</v>
      </c>
      <c r="D22">
        <v>65536</v>
      </c>
      <c r="E22">
        <v>4.2500000000000003E-2</v>
      </c>
      <c r="F22">
        <v>0.61050000000000004</v>
      </c>
      <c r="G22">
        <v>0.211173</v>
      </c>
      <c r="H22">
        <v>0.25435399999999997</v>
      </c>
      <c r="I22">
        <v>20.100000000000001</v>
      </c>
      <c r="J22">
        <f t="shared" si="2"/>
        <v>0.74350267000000003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Rushiraj Sheth</dc:creator>
  <cp:lastModifiedBy>Rushiraj Chaitanyakumar Sheth</cp:lastModifiedBy>
  <dcterms:created xsi:type="dcterms:W3CDTF">2015-06-05T18:17:20Z</dcterms:created>
  <dcterms:modified xsi:type="dcterms:W3CDTF">2024-10-13T16:34:21Z</dcterms:modified>
</cp:coreProperties>
</file>